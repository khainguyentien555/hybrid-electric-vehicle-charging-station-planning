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hai.Nguyen\Documents\DATABASES\Master's Degree Materials\2. Working\2025017 Master Thesis\Report\20251102_Rev21_Chapter 4\"/>
    </mc:Choice>
  </mc:AlternateContent>
  <xr:revisionPtr revIDLastSave="0" documentId="13_ncr:1_{3C55C3A3-3D27-497F-9F07-D72AB0E1080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KPI_Comparison" sheetId="1" r:id="rId1"/>
    <sheet name="Voltage_Profile" sheetId="2" r:id="rId2"/>
    <sheet name="Branch_Comparison" sheetId="3" r:id="rId3"/>
    <sheet name="Branch_Comparison (2)" sheetId="4" r:id="rId4"/>
    <sheet name="Branch_Comparison (3)" sheetId="5" r:id="rId5"/>
  </sheets>
  <calcPr calcId="0"/>
</workbook>
</file>

<file path=xl/sharedStrings.xml><?xml version="1.0" encoding="utf-8"?>
<sst xmlns="http://schemas.openxmlformats.org/spreadsheetml/2006/main" count="126" uniqueCount="71">
  <si>
    <t>So sánh kết quả No-EV vs EV-2040 (KPI)</t>
  </si>
  <si>
    <t>Nguồn số liệu: PowerWorld (Buses/Branches) theo ảnh chụp của bạn.</t>
  </si>
  <si>
    <t>Scenario</t>
  </si>
  <si>
    <t>Vmin_pu</t>
  </si>
  <si>
    <t>Bus_min</t>
  </si>
  <si>
    <t>Vmax_pu</t>
  </si>
  <si>
    <t>Delta_Vmin_pu</t>
  </si>
  <si>
    <t>Delta_Vmin_%</t>
  </si>
  <si>
    <t>MaxBranchLoading_%</t>
  </si>
  <si>
    <t>Line_maxLoading</t>
  </si>
  <si>
    <t>MaxAmps_A</t>
  </si>
  <si>
    <t>Line_maxAmps</t>
  </si>
  <si>
    <t>No-EV</t>
  </si>
  <si>
    <t>16 (T5)</t>
  </si>
  <si>
    <t>S1–T10</t>
  </si>
  <si>
    <t>EV-2040</t>
  </si>
  <si>
    <t>S2–T13</t>
  </si>
  <si>
    <t>Profile điện áp 16 bus: No-EV vs EV-2040</t>
  </si>
  <si>
    <t>Gợi ý: dùng line chart chồng 2 đường (Vpu_NoEV và Vpu_EV).</t>
  </si>
  <si>
    <t>BusNo</t>
  </si>
  <si>
    <t>BusName</t>
  </si>
  <si>
    <t>Vpu_NoEV</t>
  </si>
  <si>
    <t>Vpu_EV</t>
  </si>
  <si>
    <t>DeltaVpu_EV-NoEV</t>
  </si>
  <si>
    <t>Delta_% (pu*100)</t>
  </si>
  <si>
    <t>S1</t>
  </si>
  <si>
    <t>T10</t>
  </si>
  <si>
    <t>T4</t>
  </si>
  <si>
    <t>T14</t>
  </si>
  <si>
    <t>T6</t>
  </si>
  <si>
    <t>T13</t>
  </si>
  <si>
    <t>S2</t>
  </si>
  <si>
    <t>T9</t>
  </si>
  <si>
    <t>T2</t>
  </si>
  <si>
    <t>T8</t>
  </si>
  <si>
    <t>T3</t>
  </si>
  <si>
    <t>T1</t>
  </si>
  <si>
    <t>T7</t>
  </si>
  <si>
    <t>T12</t>
  </si>
  <si>
    <t>T11</t>
  </si>
  <si>
    <t>T5</t>
  </si>
  <si>
    <t>So sánh tải đường dây: No-EV vs EV-2040</t>
  </si>
  <si>
    <t>Nguồn: Branches table (% of MVA Limit (Max), Amps From/To).</t>
  </si>
  <si>
    <t>Line(undirected)</t>
  </si>
  <si>
    <t>Amps_NoEV</t>
  </si>
  <si>
    <t>Amps_EV</t>
  </si>
  <si>
    <t>Delta_Amps</t>
  </si>
  <si>
    <t>Loading%_NoEV</t>
  </si>
  <si>
    <t>Loading%_EV</t>
  </si>
  <si>
    <t>Delta_Loading_pp</t>
  </si>
  <si>
    <t>Top 5 tuyến theo Loading%_EV</t>
  </si>
  <si>
    <t>Line</t>
  </si>
  <si>
    <t>ΔLoading_pp</t>
  </si>
  <si>
    <t>ΔAmps</t>
  </si>
  <si>
    <t>T1–T3</t>
  </si>
  <si>
    <t>T1–T7</t>
  </si>
  <si>
    <t>T13–T6</t>
  </si>
  <si>
    <t>T10–T3</t>
  </si>
  <si>
    <t>T10–T4</t>
  </si>
  <si>
    <t>T12–T6</t>
  </si>
  <si>
    <t>T10–T9</t>
  </si>
  <si>
    <t>T11–T12</t>
  </si>
  <si>
    <t>T11–T5</t>
  </si>
  <si>
    <t>T12–T14</t>
  </si>
  <si>
    <t>T14–T6</t>
  </si>
  <si>
    <t>T2–T8</t>
  </si>
  <si>
    <t>T2–T9</t>
  </si>
  <si>
    <t>% Tải_NoEV</t>
  </si>
  <si>
    <t>% Tải_EV</t>
  </si>
  <si>
    <t>Dòng điện_NoEV (Amps)</t>
  </si>
  <si>
    <t>Dòng điện_EV (Amps)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</si>
</sst>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0"/>
      <color rgb="FF66666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166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So sánh Vmin (p.u.)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KPI_Comparison!$B$4</c:f>
              <c:strCache>
                <c:ptCount val="1"/>
                <c:pt idx="0">
                  <c:v>Vmin_pu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KPI_Comparison!$A$5:$A$6</c:f>
              <c:strCache>
                <c:ptCount val="2"/>
                <c:pt idx="0">
                  <c:v>No-EV</c:v>
                </c:pt>
                <c:pt idx="1">
                  <c:v>EV-2040</c:v>
                </c:pt>
              </c:strCache>
            </c:strRef>
          </c:cat>
          <c:val>
            <c:numRef>
              <c:f>KPI_Comparison!$B$5:$B$6</c:f>
              <c:numCache>
                <c:formatCode>0.00000</c:formatCode>
                <c:ptCount val="2"/>
                <c:pt idx="0">
                  <c:v>0.99953999999999998</c:v>
                </c:pt>
                <c:pt idx="1">
                  <c:v>0.99929000000000001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3-4F21-A1BD-EB137C32E73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Kịch bản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p.u.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Max loading (%) &amp; Max current (A)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KPI_Comparison!$G$4</c:f>
              <c:strCache>
                <c:ptCount val="1"/>
                <c:pt idx="0">
                  <c:v>MaxBranchLoading_%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KPI_Comparison!$A$5:$A$6</c:f>
              <c:strCache>
                <c:ptCount val="2"/>
                <c:pt idx="0">
                  <c:v>No-EV</c:v>
                </c:pt>
                <c:pt idx="1">
                  <c:v>EV-2040</c:v>
                </c:pt>
              </c:strCache>
            </c:strRef>
          </c:cat>
          <c:val>
            <c:numRef>
              <c:f>KPI_Comparison!$G$5:$G$6</c:f>
              <c:numCache>
                <c:formatCode>0.0</c:formatCode>
                <c:ptCount val="2"/>
                <c:pt idx="0">
                  <c:v>53</c:v>
                </c:pt>
                <c:pt idx="1">
                  <c:v>73.599999999999994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2-4F75-8C92-1EA611C66693}"/>
            </c:ext>
          </c:extLst>
        </c:ser>
        <c:ser>
          <c:idx val="1"/>
          <c:order val="1"/>
          <c:tx>
            <c:strRef>
              <c:f>KPI_Comparison!$I$4</c:f>
              <c:strCache>
                <c:ptCount val="1"/>
                <c:pt idx="0">
                  <c:v>MaxAmps_A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KPI_Comparison!$A$5:$A$6</c:f>
              <c:strCache>
                <c:ptCount val="2"/>
                <c:pt idx="0">
                  <c:v>No-EV</c:v>
                </c:pt>
                <c:pt idx="1">
                  <c:v>EV-2040</c:v>
                </c:pt>
              </c:strCache>
            </c:strRef>
          </c:cat>
          <c:val>
            <c:numRef>
              <c:f>KPI_Comparison!$I$5:$I$6</c:f>
              <c:numCache>
                <c:formatCode>0.0</c:formatCode>
                <c:ptCount val="2"/>
                <c:pt idx="0">
                  <c:v>139</c:v>
                </c:pt>
                <c:pt idx="1">
                  <c:v>193.2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2-4F75-8C92-1EA611C6669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Kịch bản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Giá trị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Voltage profile (p.u.)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850427350427349E-2"/>
          <c:y val="6.4675925925925928E-2"/>
          <c:w val="0.97014957264957269"/>
          <c:h val="0.93532407407407403"/>
        </c:manualLayout>
      </c:layout>
      <c:lineChart>
        <c:grouping val="standard"/>
        <c:varyColors val="1"/>
        <c:ser>
          <c:idx val="0"/>
          <c:order val="0"/>
          <c:tx>
            <c:strRef>
              <c:f>Voltage_Profile!$C$4</c:f>
              <c:strCache>
                <c:ptCount val="1"/>
                <c:pt idx="0">
                  <c:v>Vpu_NoEV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Voltage_Profile!$A$5:$A$20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Voltage_Profile!$C$5:$C$20</c:f>
              <c:numCache>
                <c:formatCode>0.00000</c:formatCode>
                <c:ptCount val="16"/>
                <c:pt idx="0">
                  <c:v>1</c:v>
                </c:pt>
                <c:pt idx="1">
                  <c:v>0.99988999999999995</c:v>
                </c:pt>
                <c:pt idx="2">
                  <c:v>0.99983</c:v>
                </c:pt>
                <c:pt idx="3">
                  <c:v>0.99968999999999997</c:v>
                </c:pt>
                <c:pt idx="4">
                  <c:v>0.99970000000000003</c:v>
                </c:pt>
                <c:pt idx="5">
                  <c:v>0.99987999999999999</c:v>
                </c:pt>
                <c:pt idx="6">
                  <c:v>1</c:v>
                </c:pt>
                <c:pt idx="7">
                  <c:v>0.99987000000000004</c:v>
                </c:pt>
                <c:pt idx="8">
                  <c:v>0.99983999999999995</c:v>
                </c:pt>
                <c:pt idx="9">
                  <c:v>0.99983</c:v>
                </c:pt>
                <c:pt idx="10">
                  <c:v>0.99975000000000003</c:v>
                </c:pt>
                <c:pt idx="11">
                  <c:v>0.99965999999999999</c:v>
                </c:pt>
                <c:pt idx="12">
                  <c:v>0.99961999999999995</c:v>
                </c:pt>
                <c:pt idx="13">
                  <c:v>0.99965000000000004</c:v>
                </c:pt>
                <c:pt idx="14">
                  <c:v>0.99960000000000004</c:v>
                </c:pt>
                <c:pt idx="15">
                  <c:v>0.99953999999999998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AF-4D8C-8779-CA2717EE0B00}"/>
            </c:ext>
          </c:extLst>
        </c:ser>
        <c:ser>
          <c:idx val="1"/>
          <c:order val="1"/>
          <c:tx>
            <c:strRef>
              <c:f>Voltage_Profile!$D$4</c:f>
              <c:strCache>
                <c:ptCount val="1"/>
                <c:pt idx="0">
                  <c:v>Vpu_EV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Voltage_Profile!$A$5:$A$20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Voltage_Profile!$D$5:$D$20</c:f>
              <c:numCache>
                <c:formatCode>0.00000</c:formatCode>
                <c:ptCount val="16"/>
                <c:pt idx="0">
                  <c:v>1</c:v>
                </c:pt>
                <c:pt idx="1">
                  <c:v>0.99985000000000002</c:v>
                </c:pt>
                <c:pt idx="2">
                  <c:v>0.99978999999999996</c:v>
                </c:pt>
                <c:pt idx="3">
                  <c:v>0.99946000000000002</c:v>
                </c:pt>
                <c:pt idx="4">
                  <c:v>0.99950000000000006</c:v>
                </c:pt>
                <c:pt idx="5">
                  <c:v>0.99978999999999996</c:v>
                </c:pt>
                <c:pt idx="6">
                  <c:v>1</c:v>
                </c:pt>
                <c:pt idx="7">
                  <c:v>0.99978999999999996</c:v>
                </c:pt>
                <c:pt idx="8">
                  <c:v>0.99973000000000001</c:v>
                </c:pt>
                <c:pt idx="9">
                  <c:v>0.99970000000000003</c:v>
                </c:pt>
                <c:pt idx="10">
                  <c:v>0.99968000000000001</c:v>
                </c:pt>
                <c:pt idx="11">
                  <c:v>0.99958000000000002</c:v>
                </c:pt>
                <c:pt idx="12">
                  <c:v>0.99951999999999996</c:v>
                </c:pt>
                <c:pt idx="13">
                  <c:v>0.99941000000000002</c:v>
                </c:pt>
                <c:pt idx="14">
                  <c:v>0.99934999999999996</c:v>
                </c:pt>
                <c:pt idx="15">
                  <c:v>0.99929000000000001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AF-4D8C-8779-CA2717EE0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Bus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V (p.u.)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Voltage_Profile!$C$4</c:f>
              <c:strCache>
                <c:ptCount val="1"/>
                <c:pt idx="0">
                  <c:v>Vpu_NoEV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Voltage_Profile!$A$5:$B$20</c:f>
              <c:multiLvlStrCache>
                <c:ptCount val="16"/>
                <c:lvl>
                  <c:pt idx="0">
                    <c:v>S1</c:v>
                  </c:pt>
                  <c:pt idx="1">
                    <c:v>T10</c:v>
                  </c:pt>
                  <c:pt idx="2">
                    <c:v>T4</c:v>
                  </c:pt>
                  <c:pt idx="3">
                    <c:v>T14</c:v>
                  </c:pt>
                  <c:pt idx="4">
                    <c:v>T6</c:v>
                  </c:pt>
                  <c:pt idx="5">
                    <c:v>T13</c:v>
                  </c:pt>
                  <c:pt idx="6">
                    <c:v>S2</c:v>
                  </c:pt>
                  <c:pt idx="7">
                    <c:v>T9</c:v>
                  </c:pt>
                  <c:pt idx="8">
                    <c:v>T2</c:v>
                  </c:pt>
                  <c:pt idx="9">
                    <c:v>T8</c:v>
                  </c:pt>
                  <c:pt idx="10">
                    <c:v>T3</c:v>
                  </c:pt>
                  <c:pt idx="11">
                    <c:v>T1</c:v>
                  </c:pt>
                  <c:pt idx="12">
                    <c:v>T7</c:v>
                  </c:pt>
                  <c:pt idx="13">
                    <c:v>T12</c:v>
                  </c:pt>
                  <c:pt idx="14">
                    <c:v>T11</c:v>
                  </c:pt>
                  <c:pt idx="15">
                    <c:v>T5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</c:multiLvlStrCache>
            </c:multiLvlStrRef>
          </c:cat>
          <c:val>
            <c:numRef>
              <c:f>Voltage_Profile!$C$5:$C$20</c:f>
              <c:numCache>
                <c:formatCode>0.00000</c:formatCode>
                <c:ptCount val="16"/>
                <c:pt idx="0">
                  <c:v>1</c:v>
                </c:pt>
                <c:pt idx="1">
                  <c:v>0.99988999999999995</c:v>
                </c:pt>
                <c:pt idx="2">
                  <c:v>0.99983</c:v>
                </c:pt>
                <c:pt idx="3">
                  <c:v>0.99968999999999997</c:v>
                </c:pt>
                <c:pt idx="4">
                  <c:v>0.99970000000000003</c:v>
                </c:pt>
                <c:pt idx="5">
                  <c:v>0.99987999999999999</c:v>
                </c:pt>
                <c:pt idx="6">
                  <c:v>1</c:v>
                </c:pt>
                <c:pt idx="7">
                  <c:v>0.99987000000000004</c:v>
                </c:pt>
                <c:pt idx="8">
                  <c:v>0.99983999999999995</c:v>
                </c:pt>
                <c:pt idx="9">
                  <c:v>0.99983</c:v>
                </c:pt>
                <c:pt idx="10">
                  <c:v>0.99975000000000003</c:v>
                </c:pt>
                <c:pt idx="11">
                  <c:v>0.99965999999999999</c:v>
                </c:pt>
                <c:pt idx="12">
                  <c:v>0.99961999999999995</c:v>
                </c:pt>
                <c:pt idx="13">
                  <c:v>0.99965000000000004</c:v>
                </c:pt>
                <c:pt idx="14">
                  <c:v>0.99960000000000004</c:v>
                </c:pt>
                <c:pt idx="15">
                  <c:v>0.99953999999999998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5-4850-A7AE-BE9FD528F6AF}"/>
            </c:ext>
          </c:extLst>
        </c:ser>
        <c:ser>
          <c:idx val="1"/>
          <c:order val="1"/>
          <c:tx>
            <c:strRef>
              <c:f>Voltage_Profile!$D$4</c:f>
              <c:strCache>
                <c:ptCount val="1"/>
                <c:pt idx="0">
                  <c:v>Vpu_EV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Voltage_Profile!$A$5:$B$20</c:f>
              <c:multiLvlStrCache>
                <c:ptCount val="16"/>
                <c:lvl>
                  <c:pt idx="0">
                    <c:v>S1</c:v>
                  </c:pt>
                  <c:pt idx="1">
                    <c:v>T10</c:v>
                  </c:pt>
                  <c:pt idx="2">
                    <c:v>T4</c:v>
                  </c:pt>
                  <c:pt idx="3">
                    <c:v>T14</c:v>
                  </c:pt>
                  <c:pt idx="4">
                    <c:v>T6</c:v>
                  </c:pt>
                  <c:pt idx="5">
                    <c:v>T13</c:v>
                  </c:pt>
                  <c:pt idx="6">
                    <c:v>S2</c:v>
                  </c:pt>
                  <c:pt idx="7">
                    <c:v>T9</c:v>
                  </c:pt>
                  <c:pt idx="8">
                    <c:v>T2</c:v>
                  </c:pt>
                  <c:pt idx="9">
                    <c:v>T8</c:v>
                  </c:pt>
                  <c:pt idx="10">
                    <c:v>T3</c:v>
                  </c:pt>
                  <c:pt idx="11">
                    <c:v>T1</c:v>
                  </c:pt>
                  <c:pt idx="12">
                    <c:v>T7</c:v>
                  </c:pt>
                  <c:pt idx="13">
                    <c:v>T12</c:v>
                  </c:pt>
                  <c:pt idx="14">
                    <c:v>T11</c:v>
                  </c:pt>
                  <c:pt idx="15">
                    <c:v>T5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</c:multiLvlStrCache>
            </c:multiLvlStrRef>
          </c:cat>
          <c:val>
            <c:numRef>
              <c:f>Voltage_Profile!$D$5:$D$20</c:f>
              <c:numCache>
                <c:formatCode>0.00000</c:formatCode>
                <c:ptCount val="16"/>
                <c:pt idx="0">
                  <c:v>1</c:v>
                </c:pt>
                <c:pt idx="1">
                  <c:v>0.99985000000000002</c:v>
                </c:pt>
                <c:pt idx="2">
                  <c:v>0.99978999999999996</c:v>
                </c:pt>
                <c:pt idx="3">
                  <c:v>0.99946000000000002</c:v>
                </c:pt>
                <c:pt idx="4">
                  <c:v>0.99950000000000006</c:v>
                </c:pt>
                <c:pt idx="5">
                  <c:v>0.99978999999999996</c:v>
                </c:pt>
                <c:pt idx="6">
                  <c:v>1</c:v>
                </c:pt>
                <c:pt idx="7">
                  <c:v>0.99978999999999996</c:v>
                </c:pt>
                <c:pt idx="8">
                  <c:v>0.99973000000000001</c:v>
                </c:pt>
                <c:pt idx="9">
                  <c:v>0.99970000000000003</c:v>
                </c:pt>
                <c:pt idx="10">
                  <c:v>0.99968000000000001</c:v>
                </c:pt>
                <c:pt idx="11">
                  <c:v>0.99958000000000002</c:v>
                </c:pt>
                <c:pt idx="12">
                  <c:v>0.99951999999999996</c:v>
                </c:pt>
                <c:pt idx="13">
                  <c:v>0.99941000000000002</c:v>
                </c:pt>
                <c:pt idx="14">
                  <c:v>0.99934999999999996</c:v>
                </c:pt>
                <c:pt idx="15">
                  <c:v>0.99929000000000001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F5-4850-A7AE-BE9FD528F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068288"/>
        <c:axId val="650075008"/>
      </c:lineChart>
      <c:catAx>
        <c:axId val="650068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Trạm</a:t>
                </a:r>
                <a:r>
                  <a:rPr lang="en-AU" baseline="0"/>
                  <a:t> biến áp</a:t>
                </a:r>
              </a:p>
              <a:p>
                <a:pPr>
                  <a:defRPr/>
                </a:pPr>
                <a:r>
                  <a:rPr lang="en-AU"/>
                  <a:t>Bus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50075008"/>
        <c:crosses val="autoZero"/>
        <c:auto val="1"/>
        <c:lblAlgn val="ctr"/>
        <c:lblOffset val="100"/>
        <c:noMultiLvlLbl val="0"/>
      </c:catAx>
      <c:valAx>
        <c:axId val="650075008"/>
        <c:scaling>
          <c:orientation val="minMax"/>
          <c:max val="1.0002"/>
          <c:min val="0.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Điện áp (per unit)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5006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Top 5 tuyến theo Loading% (No-EV vs EV)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Branch_Comparison!$J$5</c:f>
              <c:strCache>
                <c:ptCount val="1"/>
                <c:pt idx="0">
                  <c:v>Loading%_NoEV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Branch_Comparison!$I$6:$I$10</c:f>
              <c:strCache>
                <c:ptCount val="5"/>
                <c:pt idx="0">
                  <c:v>S2–T13</c:v>
                </c:pt>
                <c:pt idx="1">
                  <c:v>S1–T10</c:v>
                </c:pt>
                <c:pt idx="2">
                  <c:v>T13–T6</c:v>
                </c:pt>
                <c:pt idx="3">
                  <c:v>T10–T3</c:v>
                </c:pt>
                <c:pt idx="4">
                  <c:v>T12–T6</c:v>
                </c:pt>
              </c:strCache>
            </c:strRef>
          </c:cat>
          <c:val>
            <c:numRef>
              <c:f>Branch_Comparison!$J$6:$J$10</c:f>
              <c:numCache>
                <c:formatCode>0.0</c:formatCode>
                <c:ptCount val="5"/>
                <c:pt idx="0">
                  <c:v>40.5</c:v>
                </c:pt>
                <c:pt idx="1">
                  <c:v>53</c:v>
                </c:pt>
                <c:pt idx="2">
                  <c:v>30.2</c:v>
                </c:pt>
                <c:pt idx="3">
                  <c:v>29.7</c:v>
                </c:pt>
                <c:pt idx="4">
                  <c:v>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6-472F-9155-50245ECD24CE}"/>
            </c:ext>
          </c:extLst>
        </c:ser>
        <c:ser>
          <c:idx val="1"/>
          <c:order val="1"/>
          <c:tx>
            <c:strRef>
              <c:f>Branch_Comparison!$K$5</c:f>
              <c:strCache>
                <c:ptCount val="1"/>
                <c:pt idx="0">
                  <c:v>Loading%_EV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Branch_Comparison!$I$6:$I$10</c:f>
              <c:strCache>
                <c:ptCount val="5"/>
                <c:pt idx="0">
                  <c:v>S2–T13</c:v>
                </c:pt>
                <c:pt idx="1">
                  <c:v>S1–T10</c:v>
                </c:pt>
                <c:pt idx="2">
                  <c:v>T13–T6</c:v>
                </c:pt>
                <c:pt idx="3">
                  <c:v>T10–T3</c:v>
                </c:pt>
                <c:pt idx="4">
                  <c:v>T12–T6</c:v>
                </c:pt>
              </c:strCache>
            </c:strRef>
          </c:cat>
          <c:val>
            <c:numRef>
              <c:f>Branch_Comparison!$K$6:$K$10</c:f>
              <c:numCache>
                <c:formatCode>0.0</c:formatCode>
                <c:ptCount val="5"/>
                <c:pt idx="0">
                  <c:v>73.599999999999994</c:v>
                </c:pt>
                <c:pt idx="1">
                  <c:v>73</c:v>
                </c:pt>
                <c:pt idx="2">
                  <c:v>47.3</c:v>
                </c:pt>
                <c:pt idx="3">
                  <c:v>33.700000000000003</c:v>
                </c:pt>
                <c:pt idx="4">
                  <c:v>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6-472F-9155-50245ECD24C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Tuyến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Loading (%)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Top 5: </a:t>
            </a:r>
            <a:r>
              <a:rPr lang="el-GR"/>
              <a:t>Δ</a:t>
            </a:r>
            <a:r>
              <a:rPr lang="en-AU"/>
              <a:t>Loading (percentage points)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Branch_Comparison!$L$5</c:f>
              <c:strCache>
                <c:ptCount val="1"/>
                <c:pt idx="0">
                  <c:v>ΔLoading_pp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Branch_Comparison!$I$6:$I$10</c:f>
              <c:strCache>
                <c:ptCount val="5"/>
                <c:pt idx="0">
                  <c:v>S2–T13</c:v>
                </c:pt>
                <c:pt idx="1">
                  <c:v>S1–T10</c:v>
                </c:pt>
                <c:pt idx="2">
                  <c:v>T13–T6</c:v>
                </c:pt>
                <c:pt idx="3">
                  <c:v>T10–T3</c:v>
                </c:pt>
                <c:pt idx="4">
                  <c:v>T12–T6</c:v>
                </c:pt>
              </c:strCache>
            </c:strRef>
          </c:cat>
          <c:val>
            <c:numRef>
              <c:f>Branch_Comparison!$L$6:$L$10</c:f>
              <c:numCache>
                <c:formatCode>0.0</c:formatCode>
                <c:ptCount val="5"/>
                <c:pt idx="0">
                  <c:v>33.1</c:v>
                </c:pt>
                <c:pt idx="1">
                  <c:v>20</c:v>
                </c:pt>
                <c:pt idx="2">
                  <c:v>17.100000000000001</c:v>
                </c:pt>
                <c:pt idx="3">
                  <c:v>4</c:v>
                </c:pt>
                <c:pt idx="4">
                  <c:v>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D-462D-AF87-9C8F3C7C275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Tuyến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pp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'Branch_Comparison (2)'!$B$4</c:f>
              <c:strCache>
                <c:ptCount val="1"/>
                <c:pt idx="0">
                  <c:v>% Tải_NoEV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'Branch_Comparison (2)'!$A$5:$A$19</c:f>
              <c:strCache>
                <c:ptCount val="15"/>
                <c:pt idx="0">
                  <c:v>S1–T10</c:v>
                </c:pt>
                <c:pt idx="1">
                  <c:v>S2–T13</c:v>
                </c:pt>
                <c:pt idx="2">
                  <c:v>T1–T3</c:v>
                </c:pt>
                <c:pt idx="3">
                  <c:v>T1–T7</c:v>
                </c:pt>
                <c:pt idx="4">
                  <c:v>T10–T3</c:v>
                </c:pt>
                <c:pt idx="5">
                  <c:v>T10–T4</c:v>
                </c:pt>
                <c:pt idx="6">
                  <c:v>T10–T9</c:v>
                </c:pt>
                <c:pt idx="7">
                  <c:v>T11–T12</c:v>
                </c:pt>
                <c:pt idx="8">
                  <c:v>T11–T5</c:v>
                </c:pt>
                <c:pt idx="9">
                  <c:v>T12–T14</c:v>
                </c:pt>
                <c:pt idx="10">
                  <c:v>T12–T6</c:v>
                </c:pt>
                <c:pt idx="11">
                  <c:v>T13–T6</c:v>
                </c:pt>
                <c:pt idx="12">
                  <c:v>T14–T6</c:v>
                </c:pt>
                <c:pt idx="13">
                  <c:v>T2–T8</c:v>
                </c:pt>
                <c:pt idx="14">
                  <c:v>T2–T9</c:v>
                </c:pt>
              </c:strCache>
            </c:strRef>
          </c:cat>
          <c:val>
            <c:numRef>
              <c:f>'Branch_Comparison (2)'!$B$5:$B$19</c:f>
              <c:numCache>
                <c:formatCode>0.0</c:formatCode>
                <c:ptCount val="15"/>
                <c:pt idx="0">
                  <c:v>53</c:v>
                </c:pt>
                <c:pt idx="1">
                  <c:v>40.5</c:v>
                </c:pt>
                <c:pt idx="2">
                  <c:v>15.2</c:v>
                </c:pt>
                <c:pt idx="3">
                  <c:v>9.8000000000000007</c:v>
                </c:pt>
                <c:pt idx="4">
                  <c:v>29.7</c:v>
                </c:pt>
                <c:pt idx="5">
                  <c:v>14.7</c:v>
                </c:pt>
                <c:pt idx="6">
                  <c:v>7.6</c:v>
                </c:pt>
                <c:pt idx="7">
                  <c:v>15.8</c:v>
                </c:pt>
                <c:pt idx="8">
                  <c:v>14.9</c:v>
                </c:pt>
                <c:pt idx="9">
                  <c:v>0</c:v>
                </c:pt>
                <c:pt idx="10">
                  <c:v>15.8</c:v>
                </c:pt>
                <c:pt idx="11">
                  <c:v>30.2</c:v>
                </c:pt>
                <c:pt idx="12">
                  <c:v>3.3</c:v>
                </c:pt>
                <c:pt idx="13">
                  <c:v>1</c:v>
                </c:pt>
                <c:pt idx="14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8-49D0-B6EA-3572EA7EB91A}"/>
            </c:ext>
          </c:extLst>
        </c:ser>
        <c:ser>
          <c:idx val="1"/>
          <c:order val="1"/>
          <c:tx>
            <c:strRef>
              <c:f>'Branch_Comparison (2)'!$C$4</c:f>
              <c:strCache>
                <c:ptCount val="1"/>
                <c:pt idx="0">
                  <c:v>% Tải_EV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'Branch_Comparison (2)'!$A$5:$A$19</c:f>
              <c:strCache>
                <c:ptCount val="15"/>
                <c:pt idx="0">
                  <c:v>S1–T10</c:v>
                </c:pt>
                <c:pt idx="1">
                  <c:v>S2–T13</c:v>
                </c:pt>
                <c:pt idx="2">
                  <c:v>T1–T3</c:v>
                </c:pt>
                <c:pt idx="3">
                  <c:v>T1–T7</c:v>
                </c:pt>
                <c:pt idx="4">
                  <c:v>T10–T3</c:v>
                </c:pt>
                <c:pt idx="5">
                  <c:v>T10–T4</c:v>
                </c:pt>
                <c:pt idx="6">
                  <c:v>T10–T9</c:v>
                </c:pt>
                <c:pt idx="7">
                  <c:v>T11–T12</c:v>
                </c:pt>
                <c:pt idx="8">
                  <c:v>T11–T5</c:v>
                </c:pt>
                <c:pt idx="9">
                  <c:v>T12–T14</c:v>
                </c:pt>
                <c:pt idx="10">
                  <c:v>T12–T6</c:v>
                </c:pt>
                <c:pt idx="11">
                  <c:v>T13–T6</c:v>
                </c:pt>
                <c:pt idx="12">
                  <c:v>T14–T6</c:v>
                </c:pt>
                <c:pt idx="13">
                  <c:v>T2–T8</c:v>
                </c:pt>
                <c:pt idx="14">
                  <c:v>T2–T9</c:v>
                </c:pt>
              </c:strCache>
            </c:strRef>
          </c:cat>
          <c:val>
            <c:numRef>
              <c:f>'Branch_Comparison (2)'!$C$5:$C$19</c:f>
              <c:numCache>
                <c:formatCode>0.0</c:formatCode>
                <c:ptCount val="15"/>
                <c:pt idx="0">
                  <c:v>73</c:v>
                </c:pt>
                <c:pt idx="1">
                  <c:v>73.599999999999994</c:v>
                </c:pt>
                <c:pt idx="2">
                  <c:v>19.3</c:v>
                </c:pt>
                <c:pt idx="3">
                  <c:v>13.8</c:v>
                </c:pt>
                <c:pt idx="4">
                  <c:v>33.700000000000003</c:v>
                </c:pt>
                <c:pt idx="5">
                  <c:v>14.7</c:v>
                </c:pt>
                <c:pt idx="6">
                  <c:v>18.5</c:v>
                </c:pt>
                <c:pt idx="7">
                  <c:v>20.2</c:v>
                </c:pt>
                <c:pt idx="8">
                  <c:v>14.9</c:v>
                </c:pt>
                <c:pt idx="9">
                  <c:v>0</c:v>
                </c:pt>
                <c:pt idx="10">
                  <c:v>27.1</c:v>
                </c:pt>
                <c:pt idx="11">
                  <c:v>47.3</c:v>
                </c:pt>
                <c:pt idx="12">
                  <c:v>9</c:v>
                </c:pt>
                <c:pt idx="13">
                  <c:v>7.5</c:v>
                </c:pt>
                <c:pt idx="14">
                  <c:v>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28-49D0-B6EA-3572EA7EB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237984"/>
        <c:axId val="772238944"/>
      </c:radarChart>
      <c:catAx>
        <c:axId val="77223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238944"/>
        <c:crosses val="autoZero"/>
        <c:auto val="1"/>
        <c:lblAlgn val="ctr"/>
        <c:lblOffset val="100"/>
        <c:noMultiLvlLbl val="0"/>
      </c:catAx>
      <c:valAx>
        <c:axId val="77223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23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'Branch_Comparison (2)'!$B$4</c:f>
              <c:strCache>
                <c:ptCount val="1"/>
                <c:pt idx="0">
                  <c:v>% Tải_NoEV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'Branch_Comparison (2)'!$A$5:$A$19</c:f>
              <c:strCache>
                <c:ptCount val="15"/>
                <c:pt idx="0">
                  <c:v>S1–T10</c:v>
                </c:pt>
                <c:pt idx="1">
                  <c:v>S2–T13</c:v>
                </c:pt>
                <c:pt idx="2">
                  <c:v>T1–T3</c:v>
                </c:pt>
                <c:pt idx="3">
                  <c:v>T1–T7</c:v>
                </c:pt>
                <c:pt idx="4">
                  <c:v>T10–T3</c:v>
                </c:pt>
                <c:pt idx="5">
                  <c:v>T10–T4</c:v>
                </c:pt>
                <c:pt idx="6">
                  <c:v>T10–T9</c:v>
                </c:pt>
                <c:pt idx="7">
                  <c:v>T11–T12</c:v>
                </c:pt>
                <c:pt idx="8">
                  <c:v>T11–T5</c:v>
                </c:pt>
                <c:pt idx="9">
                  <c:v>T12–T14</c:v>
                </c:pt>
                <c:pt idx="10">
                  <c:v>T12–T6</c:v>
                </c:pt>
                <c:pt idx="11">
                  <c:v>T13–T6</c:v>
                </c:pt>
                <c:pt idx="12">
                  <c:v>T14–T6</c:v>
                </c:pt>
                <c:pt idx="13">
                  <c:v>T2–T8</c:v>
                </c:pt>
                <c:pt idx="14">
                  <c:v>T2–T9</c:v>
                </c:pt>
              </c:strCache>
            </c:strRef>
          </c:cat>
          <c:val>
            <c:numRef>
              <c:f>'Branch_Comparison (2)'!$B$5:$B$19</c:f>
              <c:numCache>
                <c:formatCode>0.0</c:formatCode>
                <c:ptCount val="15"/>
                <c:pt idx="0">
                  <c:v>53</c:v>
                </c:pt>
                <c:pt idx="1">
                  <c:v>40.5</c:v>
                </c:pt>
                <c:pt idx="2">
                  <c:v>15.2</c:v>
                </c:pt>
                <c:pt idx="3">
                  <c:v>9.8000000000000007</c:v>
                </c:pt>
                <c:pt idx="4">
                  <c:v>29.7</c:v>
                </c:pt>
                <c:pt idx="5">
                  <c:v>14.7</c:v>
                </c:pt>
                <c:pt idx="6">
                  <c:v>7.6</c:v>
                </c:pt>
                <c:pt idx="7">
                  <c:v>15.8</c:v>
                </c:pt>
                <c:pt idx="8">
                  <c:v>14.9</c:v>
                </c:pt>
                <c:pt idx="9">
                  <c:v>0</c:v>
                </c:pt>
                <c:pt idx="10">
                  <c:v>15.8</c:v>
                </c:pt>
                <c:pt idx="11">
                  <c:v>30.2</c:v>
                </c:pt>
                <c:pt idx="12">
                  <c:v>3.3</c:v>
                </c:pt>
                <c:pt idx="13">
                  <c:v>1</c:v>
                </c:pt>
                <c:pt idx="14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2-48D9-90DE-97A45F0F3F78}"/>
            </c:ext>
          </c:extLst>
        </c:ser>
        <c:ser>
          <c:idx val="1"/>
          <c:order val="1"/>
          <c:tx>
            <c:strRef>
              <c:f>'Branch_Comparison (2)'!$C$4</c:f>
              <c:strCache>
                <c:ptCount val="1"/>
                <c:pt idx="0">
                  <c:v>% Tải_EV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'Branch_Comparison (2)'!$A$5:$A$19</c:f>
              <c:strCache>
                <c:ptCount val="15"/>
                <c:pt idx="0">
                  <c:v>S1–T10</c:v>
                </c:pt>
                <c:pt idx="1">
                  <c:v>S2–T13</c:v>
                </c:pt>
                <c:pt idx="2">
                  <c:v>T1–T3</c:v>
                </c:pt>
                <c:pt idx="3">
                  <c:v>T1–T7</c:v>
                </c:pt>
                <c:pt idx="4">
                  <c:v>T10–T3</c:v>
                </c:pt>
                <c:pt idx="5">
                  <c:v>T10–T4</c:v>
                </c:pt>
                <c:pt idx="6">
                  <c:v>T10–T9</c:v>
                </c:pt>
                <c:pt idx="7">
                  <c:v>T11–T12</c:v>
                </c:pt>
                <c:pt idx="8">
                  <c:v>T11–T5</c:v>
                </c:pt>
                <c:pt idx="9">
                  <c:v>T12–T14</c:v>
                </c:pt>
                <c:pt idx="10">
                  <c:v>T12–T6</c:v>
                </c:pt>
                <c:pt idx="11">
                  <c:v>T13–T6</c:v>
                </c:pt>
                <c:pt idx="12">
                  <c:v>T14–T6</c:v>
                </c:pt>
                <c:pt idx="13">
                  <c:v>T2–T8</c:v>
                </c:pt>
                <c:pt idx="14">
                  <c:v>T2–T9</c:v>
                </c:pt>
              </c:strCache>
            </c:strRef>
          </c:cat>
          <c:val>
            <c:numRef>
              <c:f>'Branch_Comparison (2)'!$C$5:$C$19</c:f>
              <c:numCache>
                <c:formatCode>0.0</c:formatCode>
                <c:ptCount val="15"/>
                <c:pt idx="0">
                  <c:v>73</c:v>
                </c:pt>
                <c:pt idx="1">
                  <c:v>73.599999999999994</c:v>
                </c:pt>
                <c:pt idx="2">
                  <c:v>19.3</c:v>
                </c:pt>
                <c:pt idx="3">
                  <c:v>13.8</c:v>
                </c:pt>
                <c:pt idx="4">
                  <c:v>33.700000000000003</c:v>
                </c:pt>
                <c:pt idx="5">
                  <c:v>14.7</c:v>
                </c:pt>
                <c:pt idx="6">
                  <c:v>18.5</c:v>
                </c:pt>
                <c:pt idx="7">
                  <c:v>20.2</c:v>
                </c:pt>
                <c:pt idx="8">
                  <c:v>14.9</c:v>
                </c:pt>
                <c:pt idx="9">
                  <c:v>0</c:v>
                </c:pt>
                <c:pt idx="10">
                  <c:v>27.1</c:v>
                </c:pt>
                <c:pt idx="11">
                  <c:v>47.3</c:v>
                </c:pt>
                <c:pt idx="12">
                  <c:v>9</c:v>
                </c:pt>
                <c:pt idx="13">
                  <c:v>7.5</c:v>
                </c:pt>
                <c:pt idx="14">
                  <c:v>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72-48D9-90DE-97A45F0F3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44591984"/>
        <c:axId val="1044588624"/>
      </c:barChart>
      <c:catAx>
        <c:axId val="104459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Tuyến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44588624"/>
        <c:crosses val="autoZero"/>
        <c:auto val="1"/>
        <c:lblAlgn val="ctr"/>
        <c:lblOffset val="100"/>
        <c:noMultiLvlLbl val="0"/>
      </c:catAx>
      <c:valAx>
        <c:axId val="104458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Tải</a:t>
                </a:r>
                <a:r>
                  <a:rPr lang="en-AU" baseline="0"/>
                  <a:t> (%)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4459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'Branch_Comparison (3)'!$B$4</c:f>
              <c:strCache>
                <c:ptCount val="1"/>
                <c:pt idx="0">
                  <c:v>Dòng điện_NoEV (Amps)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'Branch_Comparison (3)'!$A$5:$A$19</c:f>
              <c:strCache>
                <c:ptCount val="15"/>
                <c:pt idx="0">
                  <c:v>S1–T10</c:v>
                </c:pt>
                <c:pt idx="1">
                  <c:v>S2–T13</c:v>
                </c:pt>
                <c:pt idx="2">
                  <c:v>T1–T3</c:v>
                </c:pt>
                <c:pt idx="3">
                  <c:v>T1–T7</c:v>
                </c:pt>
                <c:pt idx="4">
                  <c:v>T10–T3</c:v>
                </c:pt>
                <c:pt idx="5">
                  <c:v>T10–T4</c:v>
                </c:pt>
                <c:pt idx="6">
                  <c:v>T10–T9</c:v>
                </c:pt>
                <c:pt idx="7">
                  <c:v>T11–T12</c:v>
                </c:pt>
                <c:pt idx="8">
                  <c:v>T11–T5</c:v>
                </c:pt>
                <c:pt idx="9">
                  <c:v>T12–T14</c:v>
                </c:pt>
                <c:pt idx="10">
                  <c:v>T12–T6</c:v>
                </c:pt>
                <c:pt idx="11">
                  <c:v>T13–T6</c:v>
                </c:pt>
                <c:pt idx="12">
                  <c:v>T14–T6</c:v>
                </c:pt>
                <c:pt idx="13">
                  <c:v>T2–T8</c:v>
                </c:pt>
                <c:pt idx="14">
                  <c:v>T2–T9</c:v>
                </c:pt>
              </c:strCache>
            </c:strRef>
          </c:cat>
          <c:val>
            <c:numRef>
              <c:f>'Branch_Comparison (3)'!$B$5:$B$19</c:f>
              <c:numCache>
                <c:formatCode>0.0</c:formatCode>
                <c:ptCount val="15"/>
                <c:pt idx="0">
                  <c:v>139</c:v>
                </c:pt>
                <c:pt idx="1">
                  <c:v>106.3</c:v>
                </c:pt>
                <c:pt idx="2">
                  <c:v>40</c:v>
                </c:pt>
                <c:pt idx="3">
                  <c:v>25.8</c:v>
                </c:pt>
                <c:pt idx="4">
                  <c:v>78</c:v>
                </c:pt>
                <c:pt idx="5">
                  <c:v>38.5</c:v>
                </c:pt>
                <c:pt idx="6">
                  <c:v>19.899999999999999</c:v>
                </c:pt>
                <c:pt idx="7">
                  <c:v>41.4</c:v>
                </c:pt>
                <c:pt idx="8">
                  <c:v>39</c:v>
                </c:pt>
                <c:pt idx="9">
                  <c:v>0</c:v>
                </c:pt>
                <c:pt idx="10">
                  <c:v>41.4</c:v>
                </c:pt>
                <c:pt idx="11">
                  <c:v>79.3</c:v>
                </c:pt>
                <c:pt idx="12">
                  <c:v>8.6</c:v>
                </c:pt>
                <c:pt idx="13">
                  <c:v>2.7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9-41E1-8A92-BDA7BF1DCB29}"/>
            </c:ext>
          </c:extLst>
        </c:ser>
        <c:ser>
          <c:idx val="1"/>
          <c:order val="1"/>
          <c:tx>
            <c:strRef>
              <c:f>'Branch_Comparison (3)'!$C$4</c:f>
              <c:strCache>
                <c:ptCount val="1"/>
                <c:pt idx="0">
                  <c:v>Dòng điện_EV (Amps)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'Branch_Comparison (3)'!$A$5:$A$19</c:f>
              <c:strCache>
                <c:ptCount val="15"/>
                <c:pt idx="0">
                  <c:v>S1–T10</c:v>
                </c:pt>
                <c:pt idx="1">
                  <c:v>S2–T13</c:v>
                </c:pt>
                <c:pt idx="2">
                  <c:v>T1–T3</c:v>
                </c:pt>
                <c:pt idx="3">
                  <c:v>T1–T7</c:v>
                </c:pt>
                <c:pt idx="4">
                  <c:v>T10–T3</c:v>
                </c:pt>
                <c:pt idx="5">
                  <c:v>T10–T4</c:v>
                </c:pt>
                <c:pt idx="6">
                  <c:v>T10–T9</c:v>
                </c:pt>
                <c:pt idx="7">
                  <c:v>T11–T12</c:v>
                </c:pt>
                <c:pt idx="8">
                  <c:v>T11–T5</c:v>
                </c:pt>
                <c:pt idx="9">
                  <c:v>T12–T14</c:v>
                </c:pt>
                <c:pt idx="10">
                  <c:v>T12–T6</c:v>
                </c:pt>
                <c:pt idx="11">
                  <c:v>T13–T6</c:v>
                </c:pt>
                <c:pt idx="12">
                  <c:v>T14–T6</c:v>
                </c:pt>
                <c:pt idx="13">
                  <c:v>T2–T8</c:v>
                </c:pt>
                <c:pt idx="14">
                  <c:v>T2–T9</c:v>
                </c:pt>
              </c:strCache>
            </c:strRef>
          </c:cat>
          <c:val>
            <c:numRef>
              <c:f>'Branch_Comparison (3)'!$C$5:$C$19</c:f>
              <c:numCache>
                <c:formatCode>0.0</c:formatCode>
                <c:ptCount val="15"/>
                <c:pt idx="0">
                  <c:v>191.7</c:v>
                </c:pt>
                <c:pt idx="1">
                  <c:v>193.2</c:v>
                </c:pt>
                <c:pt idx="2">
                  <c:v>50.6</c:v>
                </c:pt>
                <c:pt idx="3">
                  <c:v>36.299999999999997</c:v>
                </c:pt>
                <c:pt idx="4">
                  <c:v>88.5</c:v>
                </c:pt>
                <c:pt idx="5">
                  <c:v>38.5</c:v>
                </c:pt>
                <c:pt idx="6">
                  <c:v>48.6</c:v>
                </c:pt>
                <c:pt idx="7">
                  <c:v>53</c:v>
                </c:pt>
                <c:pt idx="8">
                  <c:v>39</c:v>
                </c:pt>
                <c:pt idx="9">
                  <c:v>0</c:v>
                </c:pt>
                <c:pt idx="10">
                  <c:v>71.3</c:v>
                </c:pt>
                <c:pt idx="11">
                  <c:v>124.3</c:v>
                </c:pt>
                <c:pt idx="12">
                  <c:v>23.7</c:v>
                </c:pt>
                <c:pt idx="13">
                  <c:v>19.600000000000001</c:v>
                </c:pt>
                <c:pt idx="14">
                  <c:v>33.9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A9-41E1-8A92-BDA7BF1DC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562384"/>
        <c:axId val="1051562864"/>
      </c:radarChart>
      <c:catAx>
        <c:axId val="105156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1562864"/>
        <c:crosses val="autoZero"/>
        <c:auto val="1"/>
        <c:lblAlgn val="ctr"/>
        <c:lblOffset val="100"/>
        <c:noMultiLvlLbl val="0"/>
      </c:catAx>
      <c:valAx>
        <c:axId val="10515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156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209550</xdr:colOff>
      <xdr:row>18</xdr:row>
      <xdr:rowOff>85725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7</xdr:col>
      <xdr:colOff>40006</xdr:colOff>
      <xdr:row>5</xdr:row>
      <xdr:rowOff>171456</xdr:rowOff>
    </xdr:from>
    <xdr:to>
      <xdr:col>19</xdr:col>
      <xdr:colOff>257176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897D9B-38E7-8701-B708-B5FE1F5D1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304800</xdr:colOff>
      <xdr:row>9</xdr:row>
      <xdr:rowOff>152400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1891392</xdr:colOff>
      <xdr:row>33</xdr:row>
      <xdr:rowOff>27214</xdr:rowOff>
    </xdr:from>
    <xdr:ext cx="93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603516</xdr:colOff>
      <xdr:row>18</xdr:row>
      <xdr:rowOff>63240</xdr:rowOff>
    </xdr:from>
    <xdr:to>
      <xdr:col>36</xdr:col>
      <xdr:colOff>202505</xdr:colOff>
      <xdr:row>51</xdr:row>
      <xdr:rowOff>22410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D15E6E-1B48-5417-D6A8-AB16F449C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687160</xdr:colOff>
      <xdr:row>22</xdr:row>
      <xdr:rowOff>149685</xdr:rowOff>
    </xdr:from>
    <xdr:to>
      <xdr:col>15</xdr:col>
      <xdr:colOff>261855</xdr:colOff>
      <xdr:row>42</xdr:row>
      <xdr:rowOff>180165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380083-9CBB-E711-F38F-4D9C0484F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515470</xdr:colOff>
      <xdr:row>8</xdr:row>
      <xdr:rowOff>93897</xdr:rowOff>
    </xdr:from>
    <xdr:to>
      <xdr:col>22</xdr:col>
      <xdr:colOff>552450</xdr:colOff>
      <xdr:row>37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AFE9ED-DEA0-1AA8-7211-4291939B0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0" customWidth="1"/>
    <col min="2" max="4" width="10" customWidth="1"/>
    <col min="5" max="5" width="15" customWidth="1"/>
    <col min="6" max="6" width="14" customWidth="1"/>
    <col min="7" max="7" width="20" customWidth="1"/>
    <col min="8" max="8" width="17" customWidth="1"/>
    <col min="9" max="9" width="11" customWidth="1"/>
    <col min="10" max="10" width="14" customWidth="1"/>
  </cols>
  <sheetData>
    <row r="1" spans="1:10" ht="18.75" x14ac:dyDescent="0.3">
      <c r="A1" s="1" t="s">
        <v>0</v>
      </c>
    </row>
    <row r="2" spans="1:10" x14ac:dyDescent="0.25">
      <c r="A2" s="2" t="s">
        <v>1</v>
      </c>
    </row>
    <row r="4" spans="1:10" ht="3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5">
        <v>0.99953999999999998</v>
      </c>
      <c r="C5" s="4" t="s">
        <v>13</v>
      </c>
      <c r="D5" s="5">
        <v>1</v>
      </c>
      <c r="E5" s="5">
        <v>0</v>
      </c>
      <c r="F5" s="6">
        <v>0</v>
      </c>
      <c r="G5" s="7">
        <v>53</v>
      </c>
      <c r="H5" s="4" t="s">
        <v>14</v>
      </c>
      <c r="I5" s="7">
        <v>139</v>
      </c>
      <c r="J5" s="4" t="s">
        <v>14</v>
      </c>
    </row>
    <row r="6" spans="1:10" x14ac:dyDescent="0.25">
      <c r="A6" s="4" t="s">
        <v>15</v>
      </c>
      <c r="B6" s="5">
        <v>0.99929000000000001</v>
      </c>
      <c r="C6" s="4" t="s">
        <v>13</v>
      </c>
      <c r="D6" s="5">
        <v>1</v>
      </c>
      <c r="E6" s="5">
        <v>-2.5000000000000001E-4</v>
      </c>
      <c r="F6" s="6">
        <v>-2.5000000000000001E-2</v>
      </c>
      <c r="G6" s="7">
        <v>73.599999999999994</v>
      </c>
      <c r="H6" s="4" t="s">
        <v>16</v>
      </c>
      <c r="I6" s="7">
        <v>193.2</v>
      </c>
      <c r="J6" s="4" t="s">
        <v>16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opLeftCell="B1" zoomScale="115" zoomScaleNormal="115" workbookViewId="0">
      <pane ySplit="4" topLeftCell="A5" activePane="bottomLeft" state="frozen"/>
      <selection pane="bottomLeft" activeCell="G24" sqref="G24"/>
    </sheetView>
  </sheetViews>
  <sheetFormatPr defaultRowHeight="15" x14ac:dyDescent="0.25"/>
  <cols>
    <col min="1" max="1" width="40" customWidth="1"/>
    <col min="2" max="4" width="10" customWidth="1"/>
    <col min="5" max="6" width="18" customWidth="1"/>
  </cols>
  <sheetData>
    <row r="1" spans="1:6" ht="18.75" x14ac:dyDescent="0.3">
      <c r="A1" s="1" t="s">
        <v>17</v>
      </c>
    </row>
    <row r="2" spans="1:6" x14ac:dyDescent="0.25">
      <c r="A2" s="2" t="s">
        <v>18</v>
      </c>
    </row>
    <row r="4" spans="1:6" ht="30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</row>
    <row r="5" spans="1:6" x14ac:dyDescent="0.25">
      <c r="A5" s="8">
        <v>1</v>
      </c>
      <c r="B5" s="4" t="s">
        <v>25</v>
      </c>
      <c r="C5" s="5">
        <v>1</v>
      </c>
      <c r="D5" s="5">
        <v>1</v>
      </c>
      <c r="E5" s="5">
        <v>0</v>
      </c>
      <c r="F5" s="6">
        <v>0</v>
      </c>
    </row>
    <row r="6" spans="1:6" x14ac:dyDescent="0.25">
      <c r="A6" s="8">
        <v>2</v>
      </c>
      <c r="B6" s="4" t="s">
        <v>26</v>
      </c>
      <c r="C6" s="5">
        <v>0.99988999999999995</v>
      </c>
      <c r="D6" s="5">
        <v>0.99985000000000002</v>
      </c>
      <c r="E6" s="5">
        <v>-4.0000000000000003E-5</v>
      </c>
      <c r="F6" s="6">
        <v>-4.0000000000000001E-3</v>
      </c>
    </row>
    <row r="7" spans="1:6" x14ac:dyDescent="0.25">
      <c r="A7" s="8">
        <v>3</v>
      </c>
      <c r="B7" s="4" t="s">
        <v>27</v>
      </c>
      <c r="C7" s="5">
        <v>0.99983</v>
      </c>
      <c r="D7" s="5">
        <v>0.99978999999999996</v>
      </c>
      <c r="E7" s="5">
        <v>-4.0000000000000003E-5</v>
      </c>
      <c r="F7" s="6">
        <v>-4.0000000000000001E-3</v>
      </c>
    </row>
    <row r="8" spans="1:6" x14ac:dyDescent="0.25">
      <c r="A8" s="8">
        <v>4</v>
      </c>
      <c r="B8" s="4" t="s">
        <v>28</v>
      </c>
      <c r="C8" s="5">
        <v>0.99968999999999997</v>
      </c>
      <c r="D8" s="5">
        <v>0.99946000000000002</v>
      </c>
      <c r="E8" s="5">
        <v>-2.3000000000000001E-4</v>
      </c>
      <c r="F8" s="6">
        <v>-2.3E-2</v>
      </c>
    </row>
    <row r="9" spans="1:6" x14ac:dyDescent="0.25">
      <c r="A9" s="8">
        <v>5</v>
      </c>
      <c r="B9" s="4" t="s">
        <v>29</v>
      </c>
      <c r="C9" s="5">
        <v>0.99970000000000003</v>
      </c>
      <c r="D9" s="5">
        <v>0.99950000000000006</v>
      </c>
      <c r="E9" s="5">
        <v>-2.0000000000000001E-4</v>
      </c>
      <c r="F9" s="6">
        <v>-0.02</v>
      </c>
    </row>
    <row r="10" spans="1:6" x14ac:dyDescent="0.25">
      <c r="A10" s="8">
        <v>6</v>
      </c>
      <c r="B10" s="4" t="s">
        <v>30</v>
      </c>
      <c r="C10" s="5">
        <v>0.99987999999999999</v>
      </c>
      <c r="D10" s="5">
        <v>0.99978999999999996</v>
      </c>
      <c r="E10" s="5">
        <v>-9.0000000000000006E-5</v>
      </c>
      <c r="F10" s="6">
        <v>-8.9999999999999993E-3</v>
      </c>
    </row>
    <row r="11" spans="1:6" x14ac:dyDescent="0.25">
      <c r="A11" s="8">
        <v>7</v>
      </c>
      <c r="B11" s="4" t="s">
        <v>31</v>
      </c>
      <c r="C11" s="5">
        <v>1</v>
      </c>
      <c r="D11" s="5">
        <v>1</v>
      </c>
      <c r="E11" s="5">
        <v>0</v>
      </c>
      <c r="F11" s="6">
        <v>0</v>
      </c>
    </row>
    <row r="12" spans="1:6" x14ac:dyDescent="0.25">
      <c r="A12" s="8">
        <v>8</v>
      </c>
      <c r="B12" s="4" t="s">
        <v>32</v>
      </c>
      <c r="C12" s="5">
        <v>0.99987000000000004</v>
      </c>
      <c r="D12" s="5">
        <v>0.99978999999999996</v>
      </c>
      <c r="E12" s="5">
        <v>-8.0000000000000007E-5</v>
      </c>
      <c r="F12" s="6">
        <v>-8.0000000000000002E-3</v>
      </c>
    </row>
    <row r="13" spans="1:6" x14ac:dyDescent="0.25">
      <c r="A13" s="8">
        <v>9</v>
      </c>
      <c r="B13" s="4" t="s">
        <v>33</v>
      </c>
      <c r="C13" s="5">
        <v>0.99983999999999995</v>
      </c>
      <c r="D13" s="5">
        <v>0.99973000000000001</v>
      </c>
      <c r="E13" s="5">
        <v>-1.1E-4</v>
      </c>
      <c r="F13" s="6">
        <v>-1.0999999999999999E-2</v>
      </c>
    </row>
    <row r="14" spans="1:6" x14ac:dyDescent="0.25">
      <c r="A14" s="8">
        <v>10</v>
      </c>
      <c r="B14" s="4" t="s">
        <v>34</v>
      </c>
      <c r="C14" s="5">
        <v>0.99983</v>
      </c>
      <c r="D14" s="5">
        <v>0.99970000000000003</v>
      </c>
      <c r="E14" s="5">
        <v>-1.2999999999999999E-4</v>
      </c>
      <c r="F14" s="6">
        <v>-1.2999999999999999E-2</v>
      </c>
    </row>
    <row r="15" spans="1:6" x14ac:dyDescent="0.25">
      <c r="A15" s="8">
        <v>11</v>
      </c>
      <c r="B15" s="4" t="s">
        <v>35</v>
      </c>
      <c r="C15" s="5">
        <v>0.99975000000000003</v>
      </c>
      <c r="D15" s="5">
        <v>0.99968000000000001</v>
      </c>
      <c r="E15" s="5">
        <v>-6.9999999999999994E-5</v>
      </c>
      <c r="F15" s="6">
        <v>-7.0000000000000001E-3</v>
      </c>
    </row>
    <row r="16" spans="1:6" x14ac:dyDescent="0.25">
      <c r="A16" s="8">
        <v>12</v>
      </c>
      <c r="B16" s="4" t="s">
        <v>36</v>
      </c>
      <c r="C16" s="5">
        <v>0.99965999999999999</v>
      </c>
      <c r="D16" s="5">
        <v>0.99958000000000002</v>
      </c>
      <c r="E16" s="5">
        <v>-8.0000000000000007E-5</v>
      </c>
      <c r="F16" s="6">
        <v>-8.0000000000000002E-3</v>
      </c>
    </row>
    <row r="17" spans="1:6" x14ac:dyDescent="0.25">
      <c r="A17" s="8">
        <v>13</v>
      </c>
      <c r="B17" s="4" t="s">
        <v>37</v>
      </c>
      <c r="C17" s="5">
        <v>0.99961999999999995</v>
      </c>
      <c r="D17" s="5">
        <v>0.99951999999999996</v>
      </c>
      <c r="E17" s="5">
        <v>-1E-4</v>
      </c>
      <c r="F17" s="6">
        <v>-0.01</v>
      </c>
    </row>
    <row r="18" spans="1:6" x14ac:dyDescent="0.25">
      <c r="A18" s="8">
        <v>14</v>
      </c>
      <c r="B18" s="4" t="s">
        <v>38</v>
      </c>
      <c r="C18" s="5">
        <v>0.99965000000000004</v>
      </c>
      <c r="D18" s="5">
        <v>0.99941000000000002</v>
      </c>
      <c r="E18" s="5">
        <v>-2.4000000000000001E-4</v>
      </c>
      <c r="F18" s="6">
        <v>-2.4E-2</v>
      </c>
    </row>
    <row r="19" spans="1:6" x14ac:dyDescent="0.25">
      <c r="A19" s="8">
        <v>15</v>
      </c>
      <c r="B19" s="4" t="s">
        <v>39</v>
      </c>
      <c r="C19" s="5">
        <v>0.99960000000000004</v>
      </c>
      <c r="D19" s="5">
        <v>0.99934999999999996</v>
      </c>
      <c r="E19" s="5">
        <v>-2.5000000000000001E-4</v>
      </c>
      <c r="F19" s="6">
        <v>-2.5000000000000001E-2</v>
      </c>
    </row>
    <row r="20" spans="1:6" x14ac:dyDescent="0.25">
      <c r="A20" s="8">
        <v>16</v>
      </c>
      <c r="B20" s="4" t="s">
        <v>40</v>
      </c>
      <c r="C20" s="5">
        <v>0.99953999999999998</v>
      </c>
      <c r="D20" s="5">
        <v>0.99929000000000001</v>
      </c>
      <c r="E20" s="5">
        <v>-2.5000000000000001E-4</v>
      </c>
      <c r="F20" s="6">
        <v>-2.5000000000000001E-2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"/>
  <sheetViews>
    <sheetView zoomScale="70" zoomScaleNormal="70" workbookViewId="0">
      <pane ySplit="4" topLeftCell="A19" activePane="bottomLeft" state="frozen"/>
      <selection pane="bottomLeft" activeCell="B10" sqref="B10"/>
    </sheetView>
  </sheetViews>
  <sheetFormatPr defaultRowHeight="15" x14ac:dyDescent="0.25"/>
  <cols>
    <col min="1" max="1" width="40" customWidth="1"/>
    <col min="2" max="2" width="11" customWidth="1"/>
    <col min="3" max="3" width="10" customWidth="1"/>
    <col min="4" max="4" width="12" customWidth="1"/>
    <col min="5" max="5" width="15" customWidth="1"/>
    <col min="6" max="6" width="13" customWidth="1"/>
    <col min="7" max="7" width="18" customWidth="1"/>
    <col min="8" max="8" width="10" customWidth="1"/>
    <col min="9" max="9" width="30" customWidth="1"/>
    <col min="10" max="10" width="15" customWidth="1"/>
    <col min="11" max="12" width="13" customWidth="1"/>
    <col min="13" max="13" width="11" customWidth="1"/>
    <col min="14" max="15" width="10" customWidth="1"/>
  </cols>
  <sheetData>
    <row r="1" spans="1:15" ht="18.75" x14ac:dyDescent="0.3">
      <c r="A1" s="1" t="s">
        <v>41</v>
      </c>
    </row>
    <row r="2" spans="1:15" x14ac:dyDescent="0.25">
      <c r="A2" s="2" t="s">
        <v>42</v>
      </c>
    </row>
    <row r="4" spans="1:15" ht="30" x14ac:dyDescent="0.25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I4" s="9" t="s">
        <v>50</v>
      </c>
    </row>
    <row r="5" spans="1:15" ht="30" x14ac:dyDescent="0.25">
      <c r="A5" s="4" t="s">
        <v>14</v>
      </c>
      <c r="B5" s="7">
        <v>139</v>
      </c>
      <c r="C5" s="7">
        <v>191.7</v>
      </c>
      <c r="D5" s="7">
        <v>52.7</v>
      </c>
      <c r="E5" s="7">
        <v>53</v>
      </c>
      <c r="F5" s="7">
        <v>73</v>
      </c>
      <c r="G5" s="7">
        <v>20</v>
      </c>
      <c r="I5" s="10" t="s">
        <v>51</v>
      </c>
      <c r="J5" s="10" t="s">
        <v>47</v>
      </c>
      <c r="K5" s="10" t="s">
        <v>48</v>
      </c>
      <c r="L5" s="10" t="s">
        <v>52</v>
      </c>
      <c r="M5" s="10" t="s">
        <v>44</v>
      </c>
      <c r="N5" s="10" t="s">
        <v>45</v>
      </c>
      <c r="O5" s="10" t="s">
        <v>53</v>
      </c>
    </row>
    <row r="6" spans="1:15" x14ac:dyDescent="0.25">
      <c r="A6" s="4" t="s">
        <v>16</v>
      </c>
      <c r="B6" s="7">
        <v>106.3</v>
      </c>
      <c r="C6" s="7">
        <v>193.2</v>
      </c>
      <c r="D6" s="7">
        <v>86.9</v>
      </c>
      <c r="E6" s="7">
        <v>40.5</v>
      </c>
      <c r="F6" s="7">
        <v>73.599999999999994</v>
      </c>
      <c r="G6" s="7">
        <v>33.1</v>
      </c>
      <c r="I6" s="11" t="s">
        <v>16</v>
      </c>
      <c r="J6" s="12">
        <v>40.5</v>
      </c>
      <c r="K6" s="12">
        <v>73.599999999999994</v>
      </c>
      <c r="L6" s="12">
        <v>33.1</v>
      </c>
      <c r="M6" s="12">
        <v>106.3</v>
      </c>
      <c r="N6" s="12">
        <v>193.2</v>
      </c>
      <c r="O6" s="12">
        <v>86.9</v>
      </c>
    </row>
    <row r="7" spans="1:15" x14ac:dyDescent="0.25">
      <c r="A7" s="4" t="s">
        <v>54</v>
      </c>
      <c r="B7" s="7">
        <v>40</v>
      </c>
      <c r="C7" s="7">
        <v>50.6</v>
      </c>
      <c r="D7" s="7">
        <v>10.6</v>
      </c>
      <c r="E7" s="7">
        <v>15.2</v>
      </c>
      <c r="F7" s="7">
        <v>19.3</v>
      </c>
      <c r="G7" s="7">
        <v>4.0999999999999996</v>
      </c>
      <c r="I7" s="11" t="s">
        <v>14</v>
      </c>
      <c r="J7" s="12">
        <v>53</v>
      </c>
      <c r="K7" s="12">
        <v>73</v>
      </c>
      <c r="L7" s="12">
        <v>20</v>
      </c>
      <c r="M7" s="12">
        <v>139</v>
      </c>
      <c r="N7" s="12">
        <v>191.7</v>
      </c>
      <c r="O7" s="12">
        <v>52.7</v>
      </c>
    </row>
    <row r="8" spans="1:15" x14ac:dyDescent="0.25">
      <c r="A8" s="4" t="s">
        <v>55</v>
      </c>
      <c r="B8" s="7">
        <v>25.8</v>
      </c>
      <c r="C8" s="7">
        <v>36.299999999999997</v>
      </c>
      <c r="D8" s="7">
        <v>10.5</v>
      </c>
      <c r="E8" s="7">
        <v>9.8000000000000007</v>
      </c>
      <c r="F8" s="7">
        <v>13.8</v>
      </c>
      <c r="G8" s="7">
        <v>4</v>
      </c>
      <c r="I8" s="11" t="s">
        <v>56</v>
      </c>
      <c r="J8" s="12">
        <v>30.2</v>
      </c>
      <c r="K8" s="12">
        <v>47.3</v>
      </c>
      <c r="L8" s="12">
        <v>17.100000000000001</v>
      </c>
      <c r="M8" s="12">
        <v>79.3</v>
      </c>
      <c r="N8" s="12">
        <v>124.3</v>
      </c>
      <c r="O8" s="12">
        <v>45</v>
      </c>
    </row>
    <row r="9" spans="1:15" x14ac:dyDescent="0.25">
      <c r="A9" s="4" t="s">
        <v>57</v>
      </c>
      <c r="B9" s="7">
        <v>78</v>
      </c>
      <c r="C9" s="7">
        <v>88.5</v>
      </c>
      <c r="D9" s="7">
        <v>10.5</v>
      </c>
      <c r="E9" s="7">
        <v>29.7</v>
      </c>
      <c r="F9" s="7">
        <v>33.700000000000003</v>
      </c>
      <c r="G9" s="7">
        <v>4</v>
      </c>
      <c r="I9" s="11" t="s">
        <v>57</v>
      </c>
      <c r="J9" s="12">
        <v>29.7</v>
      </c>
      <c r="K9" s="12">
        <v>33.700000000000003</v>
      </c>
      <c r="L9" s="12">
        <v>4</v>
      </c>
      <c r="M9" s="12">
        <v>78</v>
      </c>
      <c r="N9" s="12">
        <v>88.5</v>
      </c>
      <c r="O9" s="12">
        <v>10.5</v>
      </c>
    </row>
    <row r="10" spans="1:15" x14ac:dyDescent="0.25">
      <c r="A10" s="4" t="s">
        <v>58</v>
      </c>
      <c r="B10" s="7">
        <v>38.5</v>
      </c>
      <c r="C10" s="7">
        <v>38.5</v>
      </c>
      <c r="D10" s="7">
        <v>0</v>
      </c>
      <c r="E10" s="7">
        <v>14.7</v>
      </c>
      <c r="F10" s="7">
        <v>14.7</v>
      </c>
      <c r="G10" s="7">
        <v>0</v>
      </c>
      <c r="I10" s="11" t="s">
        <v>59</v>
      </c>
      <c r="J10" s="12">
        <v>15.8</v>
      </c>
      <c r="K10" s="12">
        <v>27.1</v>
      </c>
      <c r="L10" s="12">
        <v>11.3</v>
      </c>
      <c r="M10" s="12">
        <v>41.4</v>
      </c>
      <c r="N10" s="12">
        <v>71.3</v>
      </c>
      <c r="O10" s="12">
        <v>29.9</v>
      </c>
    </row>
    <row r="11" spans="1:15" x14ac:dyDescent="0.25">
      <c r="A11" s="4" t="s">
        <v>60</v>
      </c>
      <c r="B11" s="7">
        <v>19.899999999999999</v>
      </c>
      <c r="C11" s="7">
        <v>48.6</v>
      </c>
      <c r="D11" s="7">
        <v>28.7</v>
      </c>
      <c r="E11" s="7">
        <v>7.6</v>
      </c>
      <c r="F11" s="7">
        <v>18.5</v>
      </c>
      <c r="G11" s="7">
        <v>10.9</v>
      </c>
    </row>
    <row r="12" spans="1:15" x14ac:dyDescent="0.25">
      <c r="A12" s="4" t="s">
        <v>61</v>
      </c>
      <c r="B12" s="7">
        <v>41.4</v>
      </c>
      <c r="C12" s="7">
        <v>53</v>
      </c>
      <c r="D12" s="7">
        <v>11.6</v>
      </c>
      <c r="E12" s="7">
        <v>15.8</v>
      </c>
      <c r="F12" s="7">
        <v>20.2</v>
      </c>
      <c r="G12" s="7">
        <v>4.4000000000000004</v>
      </c>
    </row>
    <row r="13" spans="1:15" x14ac:dyDescent="0.25">
      <c r="A13" s="4" t="s">
        <v>62</v>
      </c>
      <c r="B13" s="7">
        <v>39</v>
      </c>
      <c r="C13" s="7">
        <v>39</v>
      </c>
      <c r="D13" s="7">
        <v>0</v>
      </c>
      <c r="E13" s="7">
        <v>14.9</v>
      </c>
      <c r="F13" s="7">
        <v>14.9</v>
      </c>
      <c r="G13" s="7">
        <v>0</v>
      </c>
    </row>
    <row r="14" spans="1:15" x14ac:dyDescent="0.25">
      <c r="A14" s="4" t="s">
        <v>63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</row>
    <row r="15" spans="1:15" x14ac:dyDescent="0.25">
      <c r="A15" s="4" t="s">
        <v>59</v>
      </c>
      <c r="B15" s="7">
        <v>41.4</v>
      </c>
      <c r="C15" s="7">
        <v>71.3</v>
      </c>
      <c r="D15" s="7">
        <v>29.9</v>
      </c>
      <c r="E15" s="7">
        <v>15.8</v>
      </c>
      <c r="F15" s="7">
        <v>27.1</v>
      </c>
      <c r="G15" s="7">
        <v>11.3</v>
      </c>
    </row>
    <row r="16" spans="1:15" x14ac:dyDescent="0.25">
      <c r="A16" s="4" t="s">
        <v>56</v>
      </c>
      <c r="B16" s="7">
        <v>79.3</v>
      </c>
      <c r="C16" s="7">
        <v>124.3</v>
      </c>
      <c r="D16" s="7">
        <v>45</v>
      </c>
      <c r="E16" s="7">
        <v>30.2</v>
      </c>
      <c r="F16" s="7">
        <v>47.3</v>
      </c>
      <c r="G16" s="7">
        <v>17.100000000000001</v>
      </c>
    </row>
    <row r="17" spans="1:7" x14ac:dyDescent="0.25">
      <c r="A17" s="4" t="s">
        <v>64</v>
      </c>
      <c r="B17" s="7">
        <v>8.6</v>
      </c>
      <c r="C17" s="7">
        <v>23.7</v>
      </c>
      <c r="D17" s="7">
        <v>15.1</v>
      </c>
      <c r="E17" s="7">
        <v>3.3</v>
      </c>
      <c r="F17" s="7">
        <v>9</v>
      </c>
      <c r="G17" s="7">
        <v>5.7</v>
      </c>
    </row>
    <row r="18" spans="1:7" x14ac:dyDescent="0.25">
      <c r="A18" s="4" t="s">
        <v>65</v>
      </c>
      <c r="B18" s="7">
        <v>2.7</v>
      </c>
      <c r="C18" s="7">
        <v>19.600000000000001</v>
      </c>
      <c r="D18" s="7">
        <v>16.899999999999999</v>
      </c>
      <c r="E18" s="7">
        <v>1</v>
      </c>
      <c r="F18" s="7">
        <v>7.5</v>
      </c>
      <c r="G18" s="7">
        <v>6.5</v>
      </c>
    </row>
    <row r="19" spans="1:7" x14ac:dyDescent="0.25">
      <c r="A19" s="4" t="s">
        <v>66</v>
      </c>
      <c r="B19" s="7">
        <v>17</v>
      </c>
      <c r="C19" s="7">
        <v>33.9</v>
      </c>
      <c r="D19" s="7">
        <v>16.899999999999999</v>
      </c>
      <c r="E19" s="7">
        <v>6.5</v>
      </c>
      <c r="F19" s="7">
        <v>12.9</v>
      </c>
      <c r="G19" s="7">
        <v>6.4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158E-E6AD-43B3-8061-62EAA0F814CE}">
  <dimension ref="A1:D19"/>
  <sheetViews>
    <sheetView topLeftCell="I1" zoomScale="85" zoomScaleNormal="85" workbookViewId="0">
      <pane ySplit="4" topLeftCell="A16" activePane="bottomLeft" state="frozen"/>
      <selection pane="bottomLeft" activeCell="U30" sqref="U30"/>
    </sheetView>
  </sheetViews>
  <sheetFormatPr defaultRowHeight="15" x14ac:dyDescent="0.25"/>
  <cols>
    <col min="1" max="1" width="40" customWidth="1"/>
    <col min="2" max="2" width="15" customWidth="1"/>
    <col min="3" max="3" width="13" customWidth="1"/>
    <col min="4" max="4" width="18" customWidth="1"/>
    <col min="5" max="5" width="10" customWidth="1"/>
  </cols>
  <sheetData>
    <row r="1" spans="1:4" ht="18.75" x14ac:dyDescent="0.3">
      <c r="A1" s="1" t="s">
        <v>41</v>
      </c>
    </row>
    <row r="2" spans="1:4" x14ac:dyDescent="0.25">
      <c r="A2" s="2" t="s">
        <v>42</v>
      </c>
    </row>
    <row r="4" spans="1:4" x14ac:dyDescent="0.25">
      <c r="A4" s="3" t="s">
        <v>43</v>
      </c>
      <c r="B4" s="3" t="s">
        <v>67</v>
      </c>
      <c r="C4" s="3" t="s">
        <v>68</v>
      </c>
      <c r="D4" s="3" t="s">
        <v>49</v>
      </c>
    </row>
    <row r="5" spans="1:4" x14ac:dyDescent="0.25">
      <c r="A5" s="4" t="s">
        <v>14</v>
      </c>
      <c r="B5" s="7">
        <v>53</v>
      </c>
      <c r="C5" s="7">
        <v>73</v>
      </c>
      <c r="D5" s="7">
        <v>20</v>
      </c>
    </row>
    <row r="6" spans="1:4" x14ac:dyDescent="0.25">
      <c r="A6" s="4" t="s">
        <v>16</v>
      </c>
      <c r="B6" s="7">
        <v>40.5</v>
      </c>
      <c r="C6" s="7">
        <v>73.599999999999994</v>
      </c>
      <c r="D6" s="7">
        <v>33.1</v>
      </c>
    </row>
    <row r="7" spans="1:4" x14ac:dyDescent="0.25">
      <c r="A7" s="4" t="s">
        <v>54</v>
      </c>
      <c r="B7" s="7">
        <v>15.2</v>
      </c>
      <c r="C7" s="7">
        <v>19.3</v>
      </c>
      <c r="D7" s="7">
        <v>4.0999999999999996</v>
      </c>
    </row>
    <row r="8" spans="1:4" x14ac:dyDescent="0.25">
      <c r="A8" s="4" t="s">
        <v>55</v>
      </c>
      <c r="B8" s="7">
        <v>9.8000000000000007</v>
      </c>
      <c r="C8" s="7">
        <v>13.8</v>
      </c>
      <c r="D8" s="7">
        <v>4</v>
      </c>
    </row>
    <row r="9" spans="1:4" x14ac:dyDescent="0.25">
      <c r="A9" s="4" t="s">
        <v>57</v>
      </c>
      <c r="B9" s="7">
        <v>29.7</v>
      </c>
      <c r="C9" s="7">
        <v>33.700000000000003</v>
      </c>
      <c r="D9" s="7">
        <v>4</v>
      </c>
    </row>
    <row r="10" spans="1:4" x14ac:dyDescent="0.25">
      <c r="A10" s="4" t="s">
        <v>58</v>
      </c>
      <c r="B10" s="7">
        <v>14.7</v>
      </c>
      <c r="C10" s="7">
        <v>14.7</v>
      </c>
      <c r="D10" s="7">
        <v>0</v>
      </c>
    </row>
    <row r="11" spans="1:4" x14ac:dyDescent="0.25">
      <c r="A11" s="4" t="s">
        <v>60</v>
      </c>
      <c r="B11" s="7">
        <v>7.6</v>
      </c>
      <c r="C11" s="7">
        <v>18.5</v>
      </c>
      <c r="D11" s="7">
        <v>10.9</v>
      </c>
    </row>
    <row r="12" spans="1:4" x14ac:dyDescent="0.25">
      <c r="A12" s="4" t="s">
        <v>61</v>
      </c>
      <c r="B12" s="7">
        <v>15.8</v>
      </c>
      <c r="C12" s="7">
        <v>20.2</v>
      </c>
      <c r="D12" s="7">
        <v>4.4000000000000004</v>
      </c>
    </row>
    <row r="13" spans="1:4" x14ac:dyDescent="0.25">
      <c r="A13" s="4" t="s">
        <v>62</v>
      </c>
      <c r="B13" s="7">
        <v>14.9</v>
      </c>
      <c r="C13" s="7">
        <v>14.9</v>
      </c>
      <c r="D13" s="7">
        <v>0</v>
      </c>
    </row>
    <row r="14" spans="1:4" x14ac:dyDescent="0.25">
      <c r="A14" s="4" t="s">
        <v>63</v>
      </c>
      <c r="B14" s="7">
        <v>0</v>
      </c>
      <c r="C14" s="7">
        <v>0</v>
      </c>
      <c r="D14" s="7">
        <v>0</v>
      </c>
    </row>
    <row r="15" spans="1:4" x14ac:dyDescent="0.25">
      <c r="A15" s="4" t="s">
        <v>59</v>
      </c>
      <c r="B15" s="7">
        <v>15.8</v>
      </c>
      <c r="C15" s="7">
        <v>27.1</v>
      </c>
      <c r="D15" s="7">
        <v>11.3</v>
      </c>
    </row>
    <row r="16" spans="1:4" x14ac:dyDescent="0.25">
      <c r="A16" s="4" t="s">
        <v>56</v>
      </c>
      <c r="B16" s="7">
        <v>30.2</v>
      </c>
      <c r="C16" s="7">
        <v>47.3</v>
      </c>
      <c r="D16" s="7">
        <v>17.100000000000001</v>
      </c>
    </row>
    <row r="17" spans="1:4" x14ac:dyDescent="0.25">
      <c r="A17" s="4" t="s">
        <v>64</v>
      </c>
      <c r="B17" s="7">
        <v>3.3</v>
      </c>
      <c r="C17" s="7">
        <v>9</v>
      </c>
      <c r="D17" s="7">
        <v>5.7</v>
      </c>
    </row>
    <row r="18" spans="1:4" x14ac:dyDescent="0.25">
      <c r="A18" s="4" t="s">
        <v>65</v>
      </c>
      <c r="B18" s="7">
        <v>1</v>
      </c>
      <c r="C18" s="7">
        <v>7.5</v>
      </c>
      <c r="D18" s="7">
        <v>6.5</v>
      </c>
    </row>
    <row r="19" spans="1:4" x14ac:dyDescent="0.25">
      <c r="A19" s="4" t="s">
        <v>66</v>
      </c>
      <c r="B19" s="7">
        <v>6.5</v>
      </c>
      <c r="C19" s="7">
        <v>12.9</v>
      </c>
      <c r="D19" s="7">
        <v>6.4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C50A-501D-4C91-9A81-F99D1B948FD4}">
  <dimension ref="A1:G19"/>
  <sheetViews>
    <sheetView tabSelected="1" zoomScaleNormal="100" workbookViewId="0">
      <pane ySplit="4" topLeftCell="A8" activePane="bottomLeft" state="frozen"/>
      <selection pane="bottomLeft" activeCell="B8" sqref="B8:C19"/>
    </sheetView>
  </sheetViews>
  <sheetFormatPr defaultRowHeight="15" x14ac:dyDescent="0.25"/>
  <cols>
    <col min="1" max="1" width="40" customWidth="1"/>
    <col min="2" max="2" width="11" customWidth="1"/>
    <col min="3" max="3" width="10" customWidth="1"/>
    <col min="4" max="4" width="12" customWidth="1"/>
    <col min="5" max="5" width="15" customWidth="1"/>
    <col min="6" max="6" width="13" customWidth="1"/>
    <col min="7" max="7" width="18" customWidth="1"/>
    <col min="8" max="8" width="10" customWidth="1"/>
  </cols>
  <sheetData>
    <row r="1" spans="1:7" ht="18.75" x14ac:dyDescent="0.3">
      <c r="A1" s="1" t="s">
        <v>41</v>
      </c>
    </row>
    <row r="2" spans="1:7" x14ac:dyDescent="0.25">
      <c r="A2" s="2" t="s">
        <v>42</v>
      </c>
    </row>
    <row r="4" spans="1:7" ht="45" x14ac:dyDescent="0.25">
      <c r="A4" s="3" t="s">
        <v>43</v>
      </c>
      <c r="B4" s="3" t="s">
        <v>69</v>
      </c>
      <c r="C4" s="3" t="s">
        <v>70</v>
      </c>
      <c r="D4" s="3" t="s">
        <v>46</v>
      </c>
      <c r="E4" s="3" t="s">
        <v>47</v>
      </c>
      <c r="F4" s="3" t="s">
        <v>48</v>
      </c>
      <c r="G4" s="3" t="s">
        <v>49</v>
      </c>
    </row>
    <row r="5" spans="1:7" x14ac:dyDescent="0.25">
      <c r="A5" s="4" t="s">
        <v>14</v>
      </c>
      <c r="B5" s="7">
        <v>139</v>
      </c>
      <c r="C5" s="7">
        <v>191.7</v>
      </c>
      <c r="D5" s="7">
        <v>52.7</v>
      </c>
      <c r="E5" s="7">
        <v>53</v>
      </c>
      <c r="F5" s="7">
        <v>73</v>
      </c>
      <c r="G5" s="7">
        <v>20</v>
      </c>
    </row>
    <row r="6" spans="1:7" x14ac:dyDescent="0.25">
      <c r="A6" s="4" t="s">
        <v>16</v>
      </c>
      <c r="B6" s="7">
        <v>106.3</v>
      </c>
      <c r="C6" s="7">
        <v>193.2</v>
      </c>
      <c r="D6" s="7">
        <v>86.9</v>
      </c>
      <c r="E6" s="7">
        <v>40.5</v>
      </c>
      <c r="F6" s="7">
        <v>73.599999999999994</v>
      </c>
      <c r="G6" s="7">
        <v>33.1</v>
      </c>
    </row>
    <row r="7" spans="1:7" x14ac:dyDescent="0.25">
      <c r="A7" s="4" t="s">
        <v>54</v>
      </c>
      <c r="B7" s="7">
        <v>40</v>
      </c>
      <c r="C7" s="7">
        <v>50.6</v>
      </c>
      <c r="D7" s="7">
        <v>10.6</v>
      </c>
      <c r="E7" s="7">
        <v>15.2</v>
      </c>
      <c r="F7" s="7">
        <v>19.3</v>
      </c>
      <c r="G7" s="7">
        <v>4.0999999999999996</v>
      </c>
    </row>
    <row r="8" spans="1:7" x14ac:dyDescent="0.25">
      <c r="A8" s="4" t="s">
        <v>55</v>
      </c>
      <c r="B8" s="7">
        <v>25.8</v>
      </c>
      <c r="C8" s="7">
        <v>36.299999999999997</v>
      </c>
      <c r="D8" s="7">
        <v>10.5</v>
      </c>
      <c r="E8" s="7">
        <v>9.8000000000000007</v>
      </c>
      <c r="F8" s="7">
        <v>13.8</v>
      </c>
      <c r="G8" s="7">
        <v>4</v>
      </c>
    </row>
    <row r="9" spans="1:7" x14ac:dyDescent="0.25">
      <c r="A9" s="4" t="s">
        <v>57</v>
      </c>
      <c r="B9" s="7">
        <v>78</v>
      </c>
      <c r="C9" s="7">
        <v>88.5</v>
      </c>
      <c r="D9" s="7">
        <v>10.5</v>
      </c>
      <c r="E9" s="7">
        <v>29.7</v>
      </c>
      <c r="F9" s="7">
        <v>33.700000000000003</v>
      </c>
      <c r="G9" s="7">
        <v>4</v>
      </c>
    </row>
    <row r="10" spans="1:7" x14ac:dyDescent="0.25">
      <c r="A10" s="4" t="s">
        <v>58</v>
      </c>
      <c r="B10" s="7">
        <v>38.5</v>
      </c>
      <c r="C10" s="7">
        <v>38.5</v>
      </c>
      <c r="D10" s="7">
        <v>0</v>
      </c>
      <c r="E10" s="7">
        <v>14.7</v>
      </c>
      <c r="F10" s="7">
        <v>14.7</v>
      </c>
      <c r="G10" s="7">
        <v>0</v>
      </c>
    </row>
    <row r="11" spans="1:7" x14ac:dyDescent="0.25">
      <c r="A11" s="4" t="s">
        <v>60</v>
      </c>
      <c r="B11" s="7">
        <v>19.899999999999999</v>
      </c>
      <c r="C11" s="7">
        <v>48.6</v>
      </c>
      <c r="D11" s="7">
        <v>28.7</v>
      </c>
      <c r="E11" s="7">
        <v>7.6</v>
      </c>
      <c r="F11" s="7">
        <v>18.5</v>
      </c>
      <c r="G11" s="7">
        <v>10.9</v>
      </c>
    </row>
    <row r="12" spans="1:7" x14ac:dyDescent="0.25">
      <c r="A12" s="4" t="s">
        <v>61</v>
      </c>
      <c r="B12" s="7">
        <v>41.4</v>
      </c>
      <c r="C12" s="7">
        <v>53</v>
      </c>
      <c r="D12" s="7">
        <v>11.6</v>
      </c>
      <c r="E12" s="7">
        <v>15.8</v>
      </c>
      <c r="F12" s="7">
        <v>20.2</v>
      </c>
      <c r="G12" s="7">
        <v>4.4000000000000004</v>
      </c>
    </row>
    <row r="13" spans="1:7" x14ac:dyDescent="0.25">
      <c r="A13" s="4" t="s">
        <v>62</v>
      </c>
      <c r="B13" s="7">
        <v>39</v>
      </c>
      <c r="C13" s="7">
        <v>39</v>
      </c>
      <c r="D13" s="7">
        <v>0</v>
      </c>
      <c r="E13" s="7">
        <v>14.9</v>
      </c>
      <c r="F13" s="7">
        <v>14.9</v>
      </c>
      <c r="G13" s="7">
        <v>0</v>
      </c>
    </row>
    <row r="14" spans="1:7" x14ac:dyDescent="0.25">
      <c r="A14" s="4" t="s">
        <v>63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25">
      <c r="A15" s="4" t="s">
        <v>59</v>
      </c>
      <c r="B15" s="7">
        <v>41.4</v>
      </c>
      <c r="C15" s="7">
        <v>71.3</v>
      </c>
      <c r="D15" s="7">
        <v>29.9</v>
      </c>
      <c r="E15" s="7">
        <v>15.8</v>
      </c>
      <c r="F15" s="7">
        <v>27.1</v>
      </c>
      <c r="G15" s="7">
        <v>11.3</v>
      </c>
    </row>
    <row r="16" spans="1:7" x14ac:dyDescent="0.25">
      <c r="A16" s="4" t="s">
        <v>56</v>
      </c>
      <c r="B16" s="7">
        <v>79.3</v>
      </c>
      <c r="C16" s="7">
        <v>124.3</v>
      </c>
      <c r="D16" s="7">
        <v>45</v>
      </c>
      <c r="E16" s="7">
        <v>30.2</v>
      </c>
      <c r="F16" s="7">
        <v>47.3</v>
      </c>
      <c r="G16" s="7">
        <v>17.100000000000001</v>
      </c>
    </row>
    <row r="17" spans="1:7" x14ac:dyDescent="0.25">
      <c r="A17" s="4" t="s">
        <v>64</v>
      </c>
      <c r="B17" s="7">
        <v>8.6</v>
      </c>
      <c r="C17" s="7">
        <v>23.7</v>
      </c>
      <c r="D17" s="7">
        <v>15.1</v>
      </c>
      <c r="E17" s="7">
        <v>3.3</v>
      </c>
      <c r="F17" s="7">
        <v>9</v>
      </c>
      <c r="G17" s="7">
        <v>5.7</v>
      </c>
    </row>
    <row r="18" spans="1:7" x14ac:dyDescent="0.25">
      <c r="A18" s="4" t="s">
        <v>65</v>
      </c>
      <c r="B18" s="7">
        <v>2.7</v>
      </c>
      <c r="C18" s="7">
        <v>19.600000000000001</v>
      </c>
      <c r="D18" s="7">
        <v>16.899999999999999</v>
      </c>
      <c r="E18" s="7">
        <v>1</v>
      </c>
      <c r="F18" s="7">
        <v>7.5</v>
      </c>
      <c r="G18" s="7">
        <v>6.5</v>
      </c>
    </row>
    <row r="19" spans="1:7" x14ac:dyDescent="0.25">
      <c r="A19" s="4" t="s">
        <v>66</v>
      </c>
      <c r="B19" s="7">
        <v>17</v>
      </c>
      <c r="C19" s="7">
        <v>33.9</v>
      </c>
      <c r="D19" s="7">
        <v>16.899999999999999</v>
      </c>
      <c r="E19" s="7">
        <v>6.5</v>
      </c>
      <c r="F19" s="7">
        <v>12.9</v>
      </c>
      <c r="G19" s="7">
        <v>6.4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KPI_Comparison</vt:lpstr>
      <vt:lpstr>Voltage_Profile</vt:lpstr>
      <vt:lpstr>Branch_Comparison</vt:lpstr>
      <vt:lpstr>Branch_Comparison (2)</vt:lpstr>
      <vt:lpstr>Branch_Comparison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Khai Nguyen</cp:lastModifiedBy>
  <dcterms:created xsi:type="dcterms:W3CDTF">2025-12-17T15:14:08Z</dcterms:created>
  <dcterms:modified xsi:type="dcterms:W3CDTF">2026-03-01T17:20:59Z</dcterms:modified>
</cp:coreProperties>
</file>