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i.Nguyen\Documents\DATABASES\Masters Degree Materials\2. Working\2024002 Chuyên đề 1\Report\20241120 Rev5\"/>
    </mc:Choice>
  </mc:AlternateContent>
  <xr:revisionPtr revIDLastSave="0" documentId="13_ncr:1_{D2DB1B88-BA73-46C8-B910-1098320E9F1F}" xr6:coauthVersionLast="47" xr6:coauthVersionMax="47" xr10:uidLastSave="{00000000-0000-0000-0000-000000000000}"/>
  <bookViews>
    <workbookView xWindow="-108" yWindow="12852" windowWidth="23256" windowHeight="12456" activeTab="2" xr2:uid="{00000000-000D-0000-FFFF-FFFF00000000}"/>
  </bookViews>
  <sheets>
    <sheet name="Scenario 1 (2030)" sheetId="10" r:id="rId1"/>
    <sheet name="Scenario 2 (2035)" sheetId="11" r:id="rId2"/>
    <sheet name="Scenario 3 (2040)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8" i="10" l="1"/>
  <c r="Q37" i="10"/>
  <c r="Q34" i="10"/>
  <c r="Q35" i="10"/>
  <c r="Q33" i="10"/>
  <c r="Q32" i="10"/>
  <c r="S33" i="10" l="1"/>
  <c r="P38" i="11"/>
  <c r="P34" i="11"/>
  <c r="P35" i="11"/>
  <c r="R35" i="11" s="1"/>
  <c r="P32" i="11"/>
  <c r="R32" i="11" s="1"/>
  <c r="L32" i="1"/>
  <c r="P32" i="1" s="1"/>
  <c r="L33" i="1"/>
  <c r="P33" i="1" s="1"/>
  <c r="R33" i="1" s="1"/>
  <c r="L34" i="1"/>
  <c r="P34" i="1" s="1"/>
  <c r="L38" i="1"/>
  <c r="P38" i="1" s="1"/>
  <c r="L37" i="1"/>
  <c r="P37" i="1" s="1"/>
  <c r="L35" i="1"/>
  <c r="P35" i="1" s="1"/>
  <c r="L38" i="11"/>
  <c r="L37" i="11"/>
  <c r="P37" i="11" s="1"/>
  <c r="R37" i="11" s="1"/>
  <c r="L35" i="11"/>
  <c r="L34" i="11"/>
  <c r="L33" i="11"/>
  <c r="P33" i="11" s="1"/>
  <c r="R33" i="11" s="1"/>
  <c r="L32" i="11"/>
  <c r="M38" i="10"/>
  <c r="M37" i="10"/>
  <c r="M32" i="10"/>
  <c r="M35" i="10"/>
  <c r="M34" i="10"/>
  <c r="M33" i="10"/>
  <c r="R38" i="11"/>
  <c r="R34" i="11"/>
  <c r="P30" i="11"/>
  <c r="R30" i="11" s="1"/>
  <c r="P29" i="11"/>
  <c r="R29" i="11" s="1"/>
  <c r="F28" i="11"/>
  <c r="P27" i="11"/>
  <c r="R27" i="11" s="1"/>
  <c r="P26" i="11"/>
  <c r="R26" i="11" s="1"/>
  <c r="F25" i="11"/>
  <c r="P24" i="11"/>
  <c r="R24" i="11" s="1"/>
  <c r="I23" i="11"/>
  <c r="P23" i="11" s="1"/>
  <c r="R23" i="11" s="1"/>
  <c r="I22" i="11"/>
  <c r="P22" i="11" s="1"/>
  <c r="R22" i="11" s="1"/>
  <c r="I21" i="11"/>
  <c r="P21" i="11" s="1"/>
  <c r="R21" i="11" s="1"/>
  <c r="I20" i="11"/>
  <c r="P20" i="11" s="1"/>
  <c r="R20" i="11" s="1"/>
  <c r="I19" i="11"/>
  <c r="P19" i="11" s="1"/>
  <c r="R19" i="11" s="1"/>
  <c r="I18" i="11"/>
  <c r="P18" i="11" s="1"/>
  <c r="R18" i="11" s="1"/>
  <c r="I17" i="11"/>
  <c r="P17" i="11" s="1"/>
  <c r="R17" i="11" s="1"/>
  <c r="I16" i="11"/>
  <c r="P16" i="11" s="1"/>
  <c r="R16" i="11" s="1"/>
  <c r="I15" i="11"/>
  <c r="P15" i="11" s="1"/>
  <c r="R15" i="11" s="1"/>
  <c r="I14" i="11"/>
  <c r="P14" i="11" s="1"/>
  <c r="R14" i="11" s="1"/>
  <c r="I13" i="11"/>
  <c r="P13" i="11" s="1"/>
  <c r="R13" i="11" s="1"/>
  <c r="I12" i="11"/>
  <c r="P12" i="11" s="1"/>
  <c r="R12" i="11" s="1"/>
  <c r="I11" i="11"/>
  <c r="P11" i="11" s="1"/>
  <c r="R11" i="11" s="1"/>
  <c r="I10" i="11"/>
  <c r="G9" i="11"/>
  <c r="F9" i="11"/>
  <c r="P8" i="11"/>
  <c r="R8" i="11" s="1"/>
  <c r="P7" i="11"/>
  <c r="R7" i="11" s="1"/>
  <c r="F6" i="11"/>
  <c r="D6" i="11"/>
  <c r="E6" i="10"/>
  <c r="Q30" i="10"/>
  <c r="S30" i="10" s="1"/>
  <c r="Q29" i="10"/>
  <c r="S29" i="10" s="1"/>
  <c r="S28" i="10" s="1"/>
  <c r="G28" i="10"/>
  <c r="Q27" i="10"/>
  <c r="S27" i="10" s="1"/>
  <c r="Q26" i="10"/>
  <c r="S26" i="10" s="1"/>
  <c r="G25" i="10"/>
  <c r="Q24" i="10"/>
  <c r="S24" i="10" s="1"/>
  <c r="J23" i="10"/>
  <c r="Q23" i="10" s="1"/>
  <c r="S23" i="10" s="1"/>
  <c r="J22" i="10"/>
  <c r="Q22" i="10" s="1"/>
  <c r="S22" i="10" s="1"/>
  <c r="J21" i="10"/>
  <c r="Q21" i="10" s="1"/>
  <c r="S21" i="10" s="1"/>
  <c r="J20" i="10"/>
  <c r="Q20" i="10" s="1"/>
  <c r="S20" i="10" s="1"/>
  <c r="J19" i="10"/>
  <c r="Q19" i="10" s="1"/>
  <c r="S19" i="10" s="1"/>
  <c r="J18" i="10"/>
  <c r="Q18" i="10" s="1"/>
  <c r="S18" i="10" s="1"/>
  <c r="J17" i="10"/>
  <c r="Q17" i="10" s="1"/>
  <c r="S17" i="10" s="1"/>
  <c r="J16" i="10"/>
  <c r="Q16" i="10" s="1"/>
  <c r="S16" i="10" s="1"/>
  <c r="J15" i="10"/>
  <c r="Q15" i="10" s="1"/>
  <c r="S15" i="10" s="1"/>
  <c r="J14" i="10"/>
  <c r="Q14" i="10" s="1"/>
  <c r="S14" i="10" s="1"/>
  <c r="J13" i="10"/>
  <c r="Q13" i="10" s="1"/>
  <c r="S13" i="10" s="1"/>
  <c r="J12" i="10"/>
  <c r="Q12" i="10" s="1"/>
  <c r="S12" i="10" s="1"/>
  <c r="J11" i="10"/>
  <c r="Q11" i="10" s="1"/>
  <c r="S11" i="10" s="1"/>
  <c r="J10" i="10"/>
  <c r="Q10" i="10" s="1"/>
  <c r="H9" i="10"/>
  <c r="G9" i="10"/>
  <c r="Q8" i="10"/>
  <c r="S8" i="10" s="1"/>
  <c r="Q7" i="10"/>
  <c r="S7" i="10" s="1"/>
  <c r="G6" i="10"/>
  <c r="D9" i="1"/>
  <c r="R25" i="11" l="1"/>
  <c r="R36" i="11"/>
  <c r="P36" i="11"/>
  <c r="R31" i="11"/>
  <c r="S35" i="10"/>
  <c r="Q31" i="10"/>
  <c r="Q28" i="10"/>
  <c r="Q6" i="10"/>
  <c r="G39" i="10"/>
  <c r="S6" i="10"/>
  <c r="P31" i="11"/>
  <c r="F39" i="11"/>
  <c r="R6" i="11"/>
  <c r="P25" i="11"/>
  <c r="R28" i="11"/>
  <c r="I9" i="11"/>
  <c r="P28" i="11"/>
  <c r="Q25" i="10"/>
  <c r="P6" i="11"/>
  <c r="P10" i="11"/>
  <c r="S38" i="10"/>
  <c r="S25" i="10"/>
  <c r="S10" i="10"/>
  <c r="S9" i="10" s="1"/>
  <c r="Q9" i="10"/>
  <c r="J9" i="10"/>
  <c r="R10" i="11" l="1"/>
  <c r="R9" i="11" s="1"/>
  <c r="R39" i="11" s="1"/>
  <c r="R41" i="11" s="1"/>
  <c r="P9" i="11"/>
  <c r="S32" i="10"/>
  <c r="S34" i="10"/>
  <c r="S37" i="10"/>
  <c r="S36" i="10" s="1"/>
  <c r="Q36" i="10"/>
  <c r="R35" i="1"/>
  <c r="E11" i="1"/>
  <c r="E10" i="1"/>
  <c r="E7" i="1"/>
  <c r="P30" i="1"/>
  <c r="P29" i="1"/>
  <c r="R29" i="1" s="1"/>
  <c r="F28" i="1"/>
  <c r="G9" i="1"/>
  <c r="P24" i="1"/>
  <c r="R24" i="1" s="1"/>
  <c r="I13" i="1"/>
  <c r="P13" i="1" s="1"/>
  <c r="R13" i="1" s="1"/>
  <c r="I14" i="1"/>
  <c r="P14" i="1" s="1"/>
  <c r="R14" i="1" s="1"/>
  <c r="I15" i="1"/>
  <c r="P15" i="1" s="1"/>
  <c r="R15" i="1" s="1"/>
  <c r="I16" i="1"/>
  <c r="P16" i="1" s="1"/>
  <c r="R16" i="1" s="1"/>
  <c r="I17" i="1"/>
  <c r="P17" i="1" s="1"/>
  <c r="R17" i="1" s="1"/>
  <c r="I18" i="1"/>
  <c r="P18" i="1" s="1"/>
  <c r="R18" i="1" s="1"/>
  <c r="I19" i="1"/>
  <c r="P19" i="1" s="1"/>
  <c r="R19" i="1" s="1"/>
  <c r="I20" i="1"/>
  <c r="P20" i="1" s="1"/>
  <c r="R20" i="1" s="1"/>
  <c r="I21" i="1"/>
  <c r="P21" i="1" s="1"/>
  <c r="R21" i="1" s="1"/>
  <c r="I22" i="1"/>
  <c r="P22" i="1" s="1"/>
  <c r="R22" i="1" s="1"/>
  <c r="I23" i="1"/>
  <c r="P23" i="1" s="1"/>
  <c r="R23" i="1" s="1"/>
  <c r="F9" i="1"/>
  <c r="I12" i="1"/>
  <c r="P12" i="1" s="1"/>
  <c r="R12" i="1" s="1"/>
  <c r="P27" i="1"/>
  <c r="P26" i="1"/>
  <c r="I11" i="1"/>
  <c r="P11" i="1" s="1"/>
  <c r="I10" i="1"/>
  <c r="P10" i="1" s="1"/>
  <c r="F6" i="1"/>
  <c r="D6" i="1"/>
  <c r="D39" i="1" s="1"/>
  <c r="P7" i="1"/>
  <c r="R7" i="1" s="1"/>
  <c r="P8" i="1"/>
  <c r="R8" i="1" s="1"/>
  <c r="S31" i="10" l="1"/>
  <c r="S39" i="10" s="1"/>
  <c r="S41" i="10" s="1"/>
  <c r="E9" i="1"/>
  <c r="Q39" i="10"/>
  <c r="P25" i="1"/>
  <c r="P28" i="1"/>
  <c r="R6" i="1"/>
  <c r="R30" i="1"/>
  <c r="R28" i="1" s="1"/>
  <c r="P9" i="1"/>
  <c r="P6" i="1"/>
  <c r="I9" i="1"/>
  <c r="R32" i="1" l="1"/>
  <c r="R34" i="1"/>
  <c r="R38" i="1"/>
  <c r="E8" i="1"/>
  <c r="E6" i="1" s="1"/>
  <c r="E39" i="1" s="1"/>
  <c r="R31" i="1" l="1"/>
  <c r="P31" i="1"/>
  <c r="P36" i="1"/>
  <c r="R37" i="1"/>
  <c r="R36" i="1" s="1"/>
  <c r="F25" i="1"/>
  <c r="F39" i="1" s="1"/>
  <c r="P39" i="1" l="1"/>
  <c r="R10" i="1"/>
  <c r="R11" i="1"/>
  <c r="R27" i="1"/>
  <c r="R9" i="1" l="1"/>
  <c r="R26" i="1" l="1"/>
  <c r="R25" i="1" l="1"/>
  <c r="R39" i="1" l="1"/>
  <c r="R41" i="1" s="1"/>
  <c r="P39" i="11"/>
</calcChain>
</file>

<file path=xl/sharedStrings.xml><?xml version="1.0" encoding="utf-8"?>
<sst xmlns="http://schemas.openxmlformats.org/spreadsheetml/2006/main" count="699" uniqueCount="106">
  <si>
    <t>STT</t>
  </si>
  <si>
    <t>F</t>
  </si>
  <si>
    <t>CHỨC NĂNG CÔNG TRÌNH</t>
  </si>
  <si>
    <t>QUY MÔ</t>
  </si>
  <si>
    <t>SỐ CĂN</t>
  </si>
  <si>
    <t>CHỈ TIÊU TÍNH TOÁN</t>
  </si>
  <si>
    <t>DỰ PHÒNG TỔN HAO</t>
  </si>
  <si>
    <t>CÔNG SUẤT TÍNH TOÁN</t>
  </si>
  <si>
    <t>COS ɸ</t>
  </si>
  <si>
    <t>CÔNG SUẤT BIỂU KIẾN</t>
  </si>
  <si>
    <t>[m2]</t>
  </si>
  <si>
    <t>[kW]</t>
  </si>
  <si>
    <t>[kVA]</t>
  </si>
  <si>
    <t>A</t>
  </si>
  <si>
    <t>ĐẤT Ở</t>
  </si>
  <si>
    <t>B</t>
  </si>
  <si>
    <t>C</t>
  </si>
  <si>
    <t>-</t>
  </si>
  <si>
    <t>ĐẤT CÂY XANH</t>
  </si>
  <si>
    <t>Ở LIÊN KẾ</t>
  </si>
  <si>
    <t xml:space="preserve">TỔNG NHU CẦU CÔNG SUẤT </t>
  </si>
  <si>
    <t>TÊN LÔ</t>
  </si>
  <si>
    <t>D</t>
  </si>
  <si>
    <t>ĐẤT GIAO THÔNG</t>
  </si>
  <si>
    <t>HỆ SỐ CÔNG SUẤT</t>
  </si>
  <si>
    <t>CĂN HỘ THƯƠNG MẠI - DỊCH VỤ HỖN HỢP</t>
  </si>
  <si>
    <t>HH01</t>
  </si>
  <si>
    <t>HH02</t>
  </si>
  <si>
    <t>DIỆN TÍCH ĐẤT</t>
  </si>
  <si>
    <t>DIỆN TÍCH SÀN</t>
  </si>
  <si>
    <t>TỔNG DIỆN TÍCH SÀN</t>
  </si>
  <si>
    <t>SỐ TẦNG</t>
  </si>
  <si>
    <t>Ở BIỆT THỰ</t>
  </si>
  <si>
    <t>DÂN SỐ</t>
  </si>
  <si>
    <t>[kW/căn]</t>
  </si>
  <si>
    <t>152</t>
  </si>
  <si>
    <t>225</t>
  </si>
  <si>
    <r>
      <t>[W/m</t>
    </r>
    <r>
      <rPr>
        <b/>
        <vertAlign val="superscript"/>
        <sz val="11"/>
        <color theme="1"/>
        <rFont val="Times New Roman"/>
        <family val="1"/>
      </rPr>
      <t xml:space="preserve">2 </t>
    </r>
    <r>
      <rPr>
        <b/>
        <sz val="11"/>
        <color theme="1"/>
        <rFont val="Times New Roman"/>
        <family val="1"/>
      </rPr>
      <t>sàn]</t>
    </r>
  </si>
  <si>
    <t>GHI CHÚ</t>
  </si>
  <si>
    <t>Tính theo thực tế</t>
  </si>
  <si>
    <t>Tính theo QCVN 01/2021/BXD</t>
  </si>
  <si>
    <t>TRUNG TÂM THỂ DỤC THỂ THAO</t>
  </si>
  <si>
    <t>ĐẤT HỖN HỢP, CÔNG TRÌNH CÔNG CỘNG</t>
  </si>
  <si>
    <t>TRẠM Y TẾ</t>
  </si>
  <si>
    <t xml:space="preserve"> NHÀ VĂN HÓA</t>
  </si>
  <si>
    <t>TRUNG TÂM THƯƠNG MẠI 1</t>
  </si>
  <si>
    <t>TRUNG TÂM THƯƠNG MẠI 2</t>
  </si>
  <si>
    <t>TRUNG TÂM THƯƠNG MẠI 3</t>
  </si>
  <si>
    <t>DỊCH VỤ CÔNG CỘNG 1</t>
  </si>
  <si>
    <t>DỊCH VỤ CÔNG CỘNG 2</t>
  </si>
  <si>
    <t>TRƯỜNG LIÊN CẤP</t>
  </si>
  <si>
    <t>TH01</t>
  </si>
  <si>
    <t>TM1</t>
  </si>
  <si>
    <t>TM2</t>
  </si>
  <si>
    <t>TM3</t>
  </si>
  <si>
    <t>TT1</t>
  </si>
  <si>
    <t>SH1</t>
  </si>
  <si>
    <t>SH2</t>
  </si>
  <si>
    <t>YT1</t>
  </si>
  <si>
    <t>NVH</t>
  </si>
  <si>
    <t>HTKT1</t>
  </si>
  <si>
    <t>HTKT2</t>
  </si>
  <si>
    <t>HTKT3</t>
  </si>
  <si>
    <t>CÂY XANH KHU Ở</t>
  </si>
  <si>
    <t>ĐƠN VỊ Ở</t>
  </si>
  <si>
    <t>BÃI ĐỖ XE</t>
  </si>
  <si>
    <t>BDX1</t>
  </si>
  <si>
    <t>HẠ TẦNG KỸ THUẬT 1 (CẤP NƯỚC)</t>
  </si>
  <si>
    <t>HẠ TẦNG KỸ THUẬT 2 (TRẠM XLNT)</t>
  </si>
  <si>
    <t>HẠ TẦNG KỸ THUẬT 3 (CẤP ĐIỆN)</t>
  </si>
  <si>
    <t>Nội suy QCVN 01/2021/BXD</t>
  </si>
  <si>
    <t>Nội suy QCVN 01/2008/BXD</t>
  </si>
  <si>
    <t>ĐỐI NỘI</t>
  </si>
  <si>
    <t>ĐỐI NGOẠI</t>
  </si>
  <si>
    <r>
      <t>[W/m</t>
    </r>
    <r>
      <rPr>
        <b/>
        <vertAlign val="superscript"/>
        <sz val="11"/>
        <color theme="1"/>
        <rFont val="Times New Roman"/>
        <family val="1"/>
      </rPr>
      <t xml:space="preserve">2 </t>
    </r>
    <r>
      <rPr>
        <b/>
        <sz val="11"/>
        <color theme="1"/>
        <rFont val="Times New Roman"/>
        <family val="1"/>
      </rPr>
      <t>]</t>
    </r>
  </si>
  <si>
    <t>[m2 sàn]</t>
  </si>
  <si>
    <t>E</t>
  </si>
  <si>
    <t>XE ĐIỆN</t>
  </si>
  <si>
    <t>XE MÁY</t>
  </si>
  <si>
    <t>SỐ LƯỢNG XE</t>
  </si>
  <si>
    <t>[Xe]</t>
  </si>
  <si>
    <t>[kW/xe]</t>
  </si>
  <si>
    <t>MVA</t>
  </si>
  <si>
    <t>XE BUS ĐIỆN</t>
  </si>
  <si>
    <t>BẢNG TỔNG HỢP NHU CẦU CUNG CẤP ĐIỆN - KỊCH BẢN 1 (2030)</t>
  </si>
  <si>
    <t>BẢNG TỔNG HỢP NHU CẦU CUNG CẤP ĐIỆN - KỊCH BẢN 2 (2035)</t>
  </si>
  <si>
    <t>Legend:</t>
  </si>
  <si>
    <t>Thông số thay đổi theo tính toán trong file Word</t>
  </si>
  <si>
    <t>XE Ô TÔ 4 CHỖ</t>
  </si>
  <si>
    <t>XE Ô TÔ 7 CHỖ</t>
  </si>
  <si>
    <t>XE TAXI 4 CHỖ</t>
  </si>
  <si>
    <t>XE MÁY TAXI 7 CHỖ</t>
  </si>
  <si>
    <t>XE ĐIỆN PHỤC VỤ KHÁCH DU LỊCH</t>
  </si>
  <si>
    <t>Vinfast Theon-S</t>
  </si>
  <si>
    <t>Vinbus</t>
  </si>
  <si>
    <t>BẢNG TỔNG HỢP NHU CẦU CUNG CẤP ĐIỆN - KỊCH BẢN 3 (2040)</t>
  </si>
  <si>
    <t>XE TAXI 7 CHỖ</t>
  </si>
  <si>
    <t>MỨC ĐỘ THÂM NHẬP</t>
  </si>
  <si>
    <t>[%]</t>
  </si>
  <si>
    <t>SỐ LƯỢNG XE EV</t>
  </si>
  <si>
    <t>HỆ SỐ ĐỒNG THỜI XE ĐIỆN</t>
  </si>
  <si>
    <t>[SF]</t>
  </si>
  <si>
    <t>XE Ô TÔ 5 CHỖ</t>
  </si>
  <si>
    <t>XE TAXI 5 CHỖ</t>
  </si>
  <si>
    <t>Vinfast VF8 Plus</t>
  </si>
  <si>
    <t>Vinfast VF9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</si>
</sst>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43" fontId="7" fillId="0" borderId="0" applyFont="0" applyFill="0" applyBorder="0" applyAlignment="0" applyProtection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8" fillId="7" borderId="1" xfId="0" applyFont="1" applyFill="1" applyBorder="1"/>
    <xf numFmtId="9" fontId="8" fillId="7" borderId="1" xfId="0" applyNumberFormat="1" applyFont="1" applyFill="1" applyBorder="1" applyAlignment="1">
      <alignment horizontal="center"/>
    </xf>
    <xf numFmtId="49" fontId="8" fillId="7" borderId="1" xfId="0" applyNumberFormat="1" applyFont="1" applyFill="1" applyBorder="1" applyAlignment="1">
      <alignment horizontal="center"/>
    </xf>
    <xf numFmtId="1" fontId="8" fillId="7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 vertical="center"/>
    </xf>
    <xf numFmtId="0" fontId="8" fillId="7" borderId="1" xfId="0" applyFont="1" applyFill="1" applyBorder="1" applyAlignment="1"/>
    <xf numFmtId="0" fontId="6" fillId="8" borderId="6" xfId="0" applyFont="1" applyFill="1" applyBorder="1" applyAlignment="1">
      <alignment horizontal="center" vertical="center"/>
    </xf>
    <xf numFmtId="0" fontId="6" fillId="8" borderId="3" xfId="0" applyFont="1" applyFill="1" applyBorder="1"/>
    <xf numFmtId="2" fontId="6" fillId="8" borderId="3" xfId="0" applyNumberFormat="1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2" fontId="8" fillId="0" borderId="1" xfId="0" applyNumberFormat="1" applyFont="1" applyBorder="1"/>
    <xf numFmtId="2" fontId="8" fillId="7" borderId="2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9" fontId="6" fillId="8" borderId="3" xfId="0" applyNumberFormat="1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 vertical="center"/>
    </xf>
    <xf numFmtId="0" fontId="8" fillId="0" borderId="1" xfId="0" applyFont="1" applyFill="1" applyBorder="1"/>
    <xf numFmtId="9" fontId="8" fillId="0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1" fontId="6" fillId="8" borderId="3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/>
    <xf numFmtId="1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9" fontId="6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/>
    <xf numFmtId="49" fontId="6" fillId="8" borderId="1" xfId="0" applyNumberFormat="1" applyFont="1" applyFill="1" applyBorder="1" applyAlignment="1">
      <alignment horizontal="center"/>
    </xf>
    <xf numFmtId="0" fontId="8" fillId="0" borderId="1" xfId="0" applyFont="1" applyBorder="1"/>
    <xf numFmtId="0" fontId="1" fillId="0" borderId="10" xfId="0" applyFont="1" applyFill="1" applyBorder="1"/>
    <xf numFmtId="0" fontId="6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/>
    </xf>
    <xf numFmtId="0" fontId="6" fillId="7" borderId="11" xfId="0" applyFont="1" applyFill="1" applyBorder="1"/>
    <xf numFmtId="0" fontId="6" fillId="7" borderId="12" xfId="0" applyFont="1" applyFill="1" applyBorder="1"/>
    <xf numFmtId="0" fontId="6" fillId="7" borderId="12" xfId="0" applyFont="1" applyFill="1" applyBorder="1" applyAlignment="1">
      <alignment vertical="center"/>
    </xf>
    <xf numFmtId="49" fontId="6" fillId="7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/>
    <xf numFmtId="0" fontId="1" fillId="8" borderId="14" xfId="0" applyFont="1" applyFill="1" applyBorder="1"/>
    <xf numFmtId="0" fontId="1" fillId="8" borderId="10" xfId="0" applyFont="1" applyFill="1" applyBorder="1"/>
    <xf numFmtId="0" fontId="8" fillId="0" borderId="2" xfId="0" applyFont="1" applyBorder="1"/>
    <xf numFmtId="49" fontId="8" fillId="7" borderId="2" xfId="0" applyNumberFormat="1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9" fontId="8" fillId="7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0" borderId="16" xfId="0" applyFont="1" applyFill="1" applyBorder="1"/>
    <xf numFmtId="0" fontId="10" fillId="7" borderId="12" xfId="6" applyNumberFormat="1" applyFont="1" applyFill="1" applyBorder="1" applyAlignment="1">
      <alignment horizontal="center" vertical="center" wrapText="1"/>
    </xf>
    <xf numFmtId="164" fontId="10" fillId="7" borderId="12" xfId="6" applyNumberFormat="1" applyFont="1" applyFill="1" applyBorder="1" applyAlignment="1">
      <alignment horizontal="center" vertical="center" wrapText="1"/>
    </xf>
    <xf numFmtId="2" fontId="6" fillId="7" borderId="12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/>
    </xf>
    <xf numFmtId="165" fontId="8" fillId="8" borderId="1" xfId="0" applyNumberFormat="1" applyFont="1" applyFill="1" applyBorder="1" applyAlignment="1">
      <alignment horizontal="center"/>
    </xf>
    <xf numFmtId="9" fontId="8" fillId="8" borderId="1" xfId="0" applyNumberFormat="1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" xfId="0" applyFont="1" applyFill="1" applyBorder="1"/>
    <xf numFmtId="2" fontId="12" fillId="0" borderId="0" xfId="0" applyNumberFormat="1" applyFont="1"/>
    <xf numFmtId="0" fontId="6" fillId="7" borderId="1" xfId="0" applyFont="1" applyFill="1" applyBorder="1" applyAlignment="1">
      <alignment horizontal="center" vertical="center" wrapText="1"/>
    </xf>
    <xf numFmtId="164" fontId="10" fillId="7" borderId="12" xfId="6" applyNumberFormat="1" applyFont="1" applyFill="1" applyBorder="1" applyAlignment="1">
      <alignment horizontal="center" vertical="center" wrapText="1"/>
    </xf>
    <xf numFmtId="2" fontId="8" fillId="7" borderId="2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164" fontId="10" fillId="7" borderId="12" xfId="6" applyNumberFormat="1" applyFont="1" applyFill="1" applyBorder="1" applyAlignment="1">
      <alignment horizontal="center" vertical="center" wrapText="1"/>
    </xf>
    <xf numFmtId="1" fontId="6" fillId="9" borderId="3" xfId="0" applyNumberFormat="1" applyFont="1" applyFill="1" applyBorder="1" applyAlignment="1">
      <alignment horizontal="center" vertical="center"/>
    </xf>
    <xf numFmtId="0" fontId="1" fillId="9" borderId="0" xfId="0" applyFont="1" applyFill="1"/>
    <xf numFmtId="0" fontId="12" fillId="0" borderId="0" xfId="0" applyFont="1"/>
    <xf numFmtId="2" fontId="8" fillId="9" borderId="1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/>
    </xf>
    <xf numFmtId="2" fontId="8" fillId="0" borderId="2" xfId="0" applyNumberFormat="1" applyFont="1" applyFill="1" applyBorder="1" applyAlignment="1">
      <alignment horizontal="center"/>
    </xf>
    <xf numFmtId="1" fontId="8" fillId="0" borderId="2" xfId="0" applyNumberFormat="1" applyFont="1" applyFill="1" applyBorder="1" applyAlignment="1">
      <alignment horizontal="center"/>
    </xf>
    <xf numFmtId="164" fontId="10" fillId="7" borderId="11" xfId="6" applyNumberFormat="1" applyFont="1" applyFill="1" applyBorder="1" applyAlignment="1">
      <alignment horizontal="center" vertical="center" wrapText="1"/>
    </xf>
    <xf numFmtId="164" fontId="10" fillId="7" borderId="12" xfId="6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</cellXfs>
  <cellStyles count="7">
    <cellStyle name="20% - Accent1 2" xfId="4" xr:uid="{00000000-0005-0000-0000-000000000000}"/>
    <cellStyle name="20% - Accent2 2" xfId="5" xr:uid="{00000000-0005-0000-0000-000001000000}"/>
    <cellStyle name="Bad 2" xfId="2" xr:uid="{00000000-0005-0000-0000-000002000000}"/>
    <cellStyle name="Comma" xfId="6" builtinId="3"/>
    <cellStyle name="Good 2" xfId="1" xr:uid="{00000000-0005-0000-0000-000004000000}"/>
    <cellStyle name="Neutral 2" xfId="3" xr:uid="{00000000-0005-0000-0000-000005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321C-BAE6-4FAD-A08F-EF2FED1F1445}">
  <sheetPr>
    <pageSetUpPr fitToPage="1"/>
  </sheetPr>
  <dimension ref="B1:Z77"/>
  <sheetViews>
    <sheetView topLeftCell="B2" zoomScale="85" zoomScaleNormal="85" zoomScaleSheetLayoutView="100" workbookViewId="0">
      <pane xSplit="1" ySplit="3" topLeftCell="C30" activePane="bottomRight" state="frozen"/>
      <selection activeCell="B2" sqref="B2"/>
      <selection pane="topRight" activeCell="C2" sqref="C2"/>
      <selection pane="bottomLeft" activeCell="B5" sqref="B5"/>
      <selection pane="bottomRight" activeCell="C5" sqref="C5"/>
    </sheetView>
  </sheetViews>
  <sheetFormatPr defaultColWidth="8.85546875" defaultRowHeight="15.75" x14ac:dyDescent="0.25"/>
  <cols>
    <col min="1" max="1" width="8.85546875" style="1"/>
    <col min="2" max="2" width="5.140625" style="1" bestFit="1" customWidth="1"/>
    <col min="3" max="3" width="45" style="1" customWidth="1"/>
    <col min="4" max="4" width="13.140625" style="1" customWidth="1"/>
    <col min="5" max="6" width="10.140625" style="1" customWidth="1"/>
    <col min="7" max="14" width="11.42578125" style="1" customWidth="1"/>
    <col min="15" max="15" width="13.5703125" style="1" customWidth="1"/>
    <col min="16" max="16" width="10.28515625" style="1" customWidth="1"/>
    <col min="17" max="17" width="12" style="1" customWidth="1"/>
    <col min="18" max="18" width="7.28515625" style="1" customWidth="1"/>
    <col min="19" max="19" width="12.42578125" style="1" customWidth="1"/>
    <col min="20" max="20" width="34.28515625" style="1" customWidth="1"/>
    <col min="21" max="21" width="15.7109375" style="1" customWidth="1"/>
    <col min="22" max="16384" width="8.85546875" style="1"/>
  </cols>
  <sheetData>
    <row r="1" spans="2:20" ht="16.5" thickBot="1" x14ac:dyDescent="0.3"/>
    <row r="2" spans="2:20" ht="39" customHeight="1" x14ac:dyDescent="0.25">
      <c r="B2" s="104" t="s">
        <v>84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</row>
    <row r="3" spans="2:20" ht="22.9" customHeight="1" x14ac:dyDescent="0.25">
      <c r="B3" s="107" t="s">
        <v>0</v>
      </c>
      <c r="C3" s="108" t="s">
        <v>2</v>
      </c>
      <c r="D3" s="108" t="s">
        <v>21</v>
      </c>
      <c r="E3" s="99" t="s">
        <v>3</v>
      </c>
      <c r="F3" s="100"/>
      <c r="G3" s="100"/>
      <c r="H3" s="100"/>
      <c r="I3" s="100"/>
      <c r="J3" s="100"/>
      <c r="K3" s="101"/>
      <c r="L3" s="102" t="s">
        <v>97</v>
      </c>
      <c r="M3" s="102" t="s">
        <v>99</v>
      </c>
      <c r="N3" s="102" t="s">
        <v>100</v>
      </c>
      <c r="O3" s="108" t="s">
        <v>5</v>
      </c>
      <c r="P3" s="108" t="s">
        <v>6</v>
      </c>
      <c r="Q3" s="108" t="s">
        <v>7</v>
      </c>
      <c r="R3" s="108" t="s">
        <v>24</v>
      </c>
      <c r="S3" s="108" t="s">
        <v>9</v>
      </c>
      <c r="T3" s="109" t="s">
        <v>38</v>
      </c>
    </row>
    <row r="4" spans="2:20" ht="55.9" customHeight="1" x14ac:dyDescent="0.25">
      <c r="B4" s="107"/>
      <c r="C4" s="108"/>
      <c r="D4" s="108"/>
      <c r="E4" s="38" t="s">
        <v>4</v>
      </c>
      <c r="F4" s="38" t="s">
        <v>33</v>
      </c>
      <c r="G4" s="78" t="s">
        <v>28</v>
      </c>
      <c r="H4" s="78" t="s">
        <v>29</v>
      </c>
      <c r="I4" s="78" t="s">
        <v>31</v>
      </c>
      <c r="J4" s="78" t="s">
        <v>30</v>
      </c>
      <c r="K4" s="78" t="s">
        <v>79</v>
      </c>
      <c r="L4" s="103"/>
      <c r="M4" s="103"/>
      <c r="N4" s="103"/>
      <c r="O4" s="108"/>
      <c r="P4" s="108"/>
      <c r="Q4" s="108"/>
      <c r="R4" s="108"/>
      <c r="S4" s="108"/>
      <c r="T4" s="109"/>
    </row>
    <row r="5" spans="2:20" ht="16.5" thickBot="1" x14ac:dyDescent="0.3">
      <c r="B5" s="54"/>
      <c r="C5" s="55"/>
      <c r="D5" s="55"/>
      <c r="E5" s="55"/>
      <c r="F5" s="55"/>
      <c r="G5" s="11" t="s">
        <v>10</v>
      </c>
      <c r="H5" s="11" t="s">
        <v>75</v>
      </c>
      <c r="I5" s="11"/>
      <c r="J5" s="11" t="s">
        <v>75</v>
      </c>
      <c r="K5" s="11" t="s">
        <v>80</v>
      </c>
      <c r="L5" s="11" t="s">
        <v>98</v>
      </c>
      <c r="M5" s="11" t="s">
        <v>80</v>
      </c>
      <c r="N5" s="11" t="s">
        <v>101</v>
      </c>
      <c r="O5" s="55"/>
      <c r="P5" s="55"/>
      <c r="Q5" s="11" t="s">
        <v>11</v>
      </c>
      <c r="R5" s="56" t="s">
        <v>8</v>
      </c>
      <c r="S5" s="57" t="s">
        <v>12</v>
      </c>
      <c r="T5" s="58"/>
    </row>
    <row r="6" spans="2:20" x14ac:dyDescent="0.25">
      <c r="B6" s="13" t="s">
        <v>13</v>
      </c>
      <c r="C6" s="14" t="s">
        <v>14</v>
      </c>
      <c r="D6" s="14"/>
      <c r="E6" s="36">
        <f>E7+E8</f>
        <v>274</v>
      </c>
      <c r="F6" s="88">
        <v>1097</v>
      </c>
      <c r="G6" s="84">
        <f>G7+G8</f>
        <v>205910.3</v>
      </c>
      <c r="H6" s="30" t="s">
        <v>17</v>
      </c>
      <c r="I6" s="30" t="s">
        <v>17</v>
      </c>
      <c r="J6" s="30" t="s">
        <v>17</v>
      </c>
      <c r="K6" s="30"/>
      <c r="L6" s="30"/>
      <c r="M6" s="30"/>
      <c r="N6" s="30"/>
      <c r="O6" s="30" t="s">
        <v>34</v>
      </c>
      <c r="P6" s="31"/>
      <c r="Q6" s="15">
        <f>SUM(Q7:Q8)</f>
        <v>2630.3999999999996</v>
      </c>
      <c r="R6" s="17"/>
      <c r="S6" s="16">
        <f>SUM(S7:S8)</f>
        <v>3094.5882352941176</v>
      </c>
      <c r="T6" s="59"/>
    </row>
    <row r="7" spans="2:20" x14ac:dyDescent="0.25">
      <c r="B7" s="32">
        <v>1</v>
      </c>
      <c r="C7" s="33" t="s">
        <v>19</v>
      </c>
      <c r="D7" s="33"/>
      <c r="E7" s="85">
        <v>137</v>
      </c>
      <c r="F7" s="85">
        <v>549</v>
      </c>
      <c r="G7" s="85">
        <v>178169.9</v>
      </c>
      <c r="H7" s="29" t="s">
        <v>17</v>
      </c>
      <c r="I7" s="85">
        <v>5</v>
      </c>
      <c r="J7" s="85" t="s">
        <v>17</v>
      </c>
      <c r="K7" s="85" t="s">
        <v>17</v>
      </c>
      <c r="L7" s="85"/>
      <c r="M7" s="85"/>
      <c r="N7" s="85"/>
      <c r="O7" s="85">
        <v>7</v>
      </c>
      <c r="P7" s="34">
        <v>0.2</v>
      </c>
      <c r="Q7" s="86">
        <f>E7*O7*1.2</f>
        <v>1150.8</v>
      </c>
      <c r="R7" s="82">
        <v>0.85</v>
      </c>
      <c r="S7" s="18">
        <f>Q7/R7</f>
        <v>1353.8823529411764</v>
      </c>
      <c r="T7" s="51" t="s">
        <v>39</v>
      </c>
    </row>
    <row r="8" spans="2:20" ht="16.899999999999999" customHeight="1" x14ac:dyDescent="0.25">
      <c r="B8" s="32">
        <v>2</v>
      </c>
      <c r="C8" s="33" t="s">
        <v>32</v>
      </c>
      <c r="D8" s="33"/>
      <c r="E8" s="82">
        <v>137</v>
      </c>
      <c r="F8" s="85">
        <v>548</v>
      </c>
      <c r="G8" s="82">
        <v>27740.400000000001</v>
      </c>
      <c r="H8" s="29" t="s">
        <v>17</v>
      </c>
      <c r="I8" s="82">
        <v>4</v>
      </c>
      <c r="J8" s="82" t="s">
        <v>17</v>
      </c>
      <c r="K8" s="82" t="s">
        <v>17</v>
      </c>
      <c r="L8" s="82"/>
      <c r="M8" s="82"/>
      <c r="N8" s="82"/>
      <c r="O8" s="85">
        <v>9</v>
      </c>
      <c r="P8" s="34">
        <v>0.2</v>
      </c>
      <c r="Q8" s="86">
        <f>E8*O8*1.2</f>
        <v>1479.6</v>
      </c>
      <c r="R8" s="82">
        <v>0.85</v>
      </c>
      <c r="S8" s="18">
        <f>Q8/R8</f>
        <v>1740.7058823529412</v>
      </c>
      <c r="T8" s="51" t="s">
        <v>39</v>
      </c>
    </row>
    <row r="9" spans="2:20" ht="16.5" x14ac:dyDescent="0.25">
      <c r="B9" s="52" t="s">
        <v>15</v>
      </c>
      <c r="C9" s="45" t="s">
        <v>42</v>
      </c>
      <c r="D9" s="45"/>
      <c r="E9" s="36" t="s">
        <v>17</v>
      </c>
      <c r="F9" s="88">
        <v>195</v>
      </c>
      <c r="G9" s="41">
        <f>SUM(G10:G24)</f>
        <v>84432.4</v>
      </c>
      <c r="H9" s="41">
        <f>SUM(H10:H24)</f>
        <v>24662.400000000001</v>
      </c>
      <c r="I9" s="41"/>
      <c r="J9" s="41">
        <f>SUM(J10:J24)</f>
        <v>139284.29999999996</v>
      </c>
      <c r="K9" s="41"/>
      <c r="L9" s="41"/>
      <c r="M9" s="41"/>
      <c r="N9" s="41"/>
      <c r="O9" s="46" t="s">
        <v>37</v>
      </c>
      <c r="P9" s="47"/>
      <c r="Q9" s="43">
        <f>SUM(Q10:Q24)</f>
        <v>4036.1873999999993</v>
      </c>
      <c r="R9" s="45"/>
      <c r="S9" s="43">
        <f>SUM(S10:S24)</f>
        <v>4748.4557647058818</v>
      </c>
      <c r="T9" s="60"/>
    </row>
    <row r="10" spans="2:20" x14ac:dyDescent="0.25">
      <c r="B10" s="8">
        <v>1</v>
      </c>
      <c r="C10" s="3" t="s">
        <v>25</v>
      </c>
      <c r="D10" s="3" t="s">
        <v>26</v>
      </c>
      <c r="E10" s="29" t="s">
        <v>17</v>
      </c>
      <c r="F10" s="29" t="s">
        <v>17</v>
      </c>
      <c r="G10" s="83">
        <v>17409.099999999999</v>
      </c>
      <c r="H10" s="83">
        <v>5420</v>
      </c>
      <c r="I10" s="9">
        <v>8</v>
      </c>
      <c r="J10" s="83">
        <f>H10*I10</f>
        <v>43360</v>
      </c>
      <c r="K10" s="85" t="s">
        <v>17</v>
      </c>
      <c r="L10" s="85"/>
      <c r="M10" s="85"/>
      <c r="N10" s="85"/>
      <c r="O10" s="82">
        <v>25</v>
      </c>
      <c r="P10" s="4">
        <v>0.2</v>
      </c>
      <c r="Q10" s="81">
        <f>(J10*O10*1.2)/1000</f>
        <v>1300.8</v>
      </c>
      <c r="R10" s="82">
        <v>0.85</v>
      </c>
      <c r="S10" s="81">
        <f>Q10/R10</f>
        <v>1530.3529411764705</v>
      </c>
      <c r="T10" s="51" t="s">
        <v>71</v>
      </c>
    </row>
    <row r="11" spans="2:20" x14ac:dyDescent="0.25">
      <c r="B11" s="8">
        <v>2</v>
      </c>
      <c r="C11" s="3" t="s">
        <v>25</v>
      </c>
      <c r="D11" s="3" t="s">
        <v>27</v>
      </c>
      <c r="E11" s="29" t="s">
        <v>17</v>
      </c>
      <c r="F11" s="29" t="s">
        <v>17</v>
      </c>
      <c r="G11" s="83">
        <v>25475.8</v>
      </c>
      <c r="H11" s="83">
        <v>8033.1</v>
      </c>
      <c r="I11" s="9">
        <v>8</v>
      </c>
      <c r="J11" s="83">
        <f>H11*I11</f>
        <v>64264.800000000003</v>
      </c>
      <c r="K11" s="82" t="s">
        <v>17</v>
      </c>
      <c r="L11" s="82"/>
      <c r="M11" s="82"/>
      <c r="N11" s="82"/>
      <c r="O11" s="82">
        <v>25</v>
      </c>
      <c r="P11" s="4">
        <v>0.2</v>
      </c>
      <c r="Q11" s="81">
        <f>(J11*O11*1.2)/1000</f>
        <v>1927.944</v>
      </c>
      <c r="R11" s="82">
        <v>0.85</v>
      </c>
      <c r="S11" s="81">
        <f t="shared" ref="S11:S24" si="0">Q11/R11</f>
        <v>2268.1694117647057</v>
      </c>
      <c r="T11" s="51" t="s">
        <v>71</v>
      </c>
    </row>
    <row r="12" spans="2:20" x14ac:dyDescent="0.25">
      <c r="B12" s="8">
        <v>3</v>
      </c>
      <c r="C12" s="3" t="s">
        <v>45</v>
      </c>
      <c r="D12" s="3" t="s">
        <v>52</v>
      </c>
      <c r="E12" s="29" t="s">
        <v>17</v>
      </c>
      <c r="F12" s="29" t="s">
        <v>17</v>
      </c>
      <c r="G12" s="83">
        <v>4688.8</v>
      </c>
      <c r="H12" s="82">
        <v>1687.8</v>
      </c>
      <c r="I12" s="82">
        <v>2</v>
      </c>
      <c r="J12" s="83">
        <f>H12*I12</f>
        <v>3375.6</v>
      </c>
      <c r="K12" s="85" t="s">
        <v>17</v>
      </c>
      <c r="L12" s="85"/>
      <c r="M12" s="85"/>
      <c r="N12" s="85"/>
      <c r="O12" s="82">
        <v>30</v>
      </c>
      <c r="P12" s="4">
        <v>0.2</v>
      </c>
      <c r="Q12" s="81">
        <f t="shared" ref="Q12:Q23" si="1">(J12*O12*1.2)/1000</f>
        <v>121.52159999999999</v>
      </c>
      <c r="R12" s="82">
        <v>0.85</v>
      </c>
      <c r="S12" s="81">
        <f t="shared" si="0"/>
        <v>142.96658823529413</v>
      </c>
      <c r="T12" s="51" t="s">
        <v>40</v>
      </c>
    </row>
    <row r="13" spans="2:20" x14ac:dyDescent="0.25">
      <c r="B13" s="8">
        <v>4</v>
      </c>
      <c r="C13" s="3" t="s">
        <v>46</v>
      </c>
      <c r="D13" s="3" t="s">
        <v>53</v>
      </c>
      <c r="E13" s="29" t="s">
        <v>17</v>
      </c>
      <c r="F13" s="29" t="s">
        <v>17</v>
      </c>
      <c r="G13" s="83">
        <v>486</v>
      </c>
      <c r="H13" s="82">
        <v>174.6</v>
      </c>
      <c r="I13" s="82">
        <v>2</v>
      </c>
      <c r="J13" s="83">
        <f t="shared" ref="J13:J23" si="2">H13*I13</f>
        <v>349.2</v>
      </c>
      <c r="K13" s="82" t="s">
        <v>17</v>
      </c>
      <c r="L13" s="82"/>
      <c r="M13" s="82"/>
      <c r="N13" s="82"/>
      <c r="O13" s="82">
        <v>30</v>
      </c>
      <c r="P13" s="4">
        <v>0.2</v>
      </c>
      <c r="Q13" s="81">
        <f t="shared" si="1"/>
        <v>12.571199999999999</v>
      </c>
      <c r="R13" s="82">
        <v>0.85</v>
      </c>
      <c r="S13" s="81">
        <f t="shared" si="0"/>
        <v>14.78964705882353</v>
      </c>
      <c r="T13" s="51" t="s">
        <v>40</v>
      </c>
    </row>
    <row r="14" spans="2:20" x14ac:dyDescent="0.25">
      <c r="B14" s="8">
        <v>5</v>
      </c>
      <c r="C14" s="3" t="s">
        <v>47</v>
      </c>
      <c r="D14" s="3" t="s">
        <v>54</v>
      </c>
      <c r="E14" s="29" t="s">
        <v>17</v>
      </c>
      <c r="F14" s="29" t="s">
        <v>17</v>
      </c>
      <c r="G14" s="82">
        <v>3676.6</v>
      </c>
      <c r="H14" s="82">
        <v>1323.6</v>
      </c>
      <c r="I14" s="82">
        <v>2</v>
      </c>
      <c r="J14" s="83">
        <f t="shared" si="2"/>
        <v>2647.2</v>
      </c>
      <c r="K14" s="85" t="s">
        <v>17</v>
      </c>
      <c r="L14" s="85"/>
      <c r="M14" s="85"/>
      <c r="N14" s="85"/>
      <c r="O14" s="82">
        <v>30</v>
      </c>
      <c r="P14" s="4">
        <v>0.2</v>
      </c>
      <c r="Q14" s="81">
        <f t="shared" si="1"/>
        <v>95.299199999999999</v>
      </c>
      <c r="R14" s="82">
        <v>0.85</v>
      </c>
      <c r="S14" s="81">
        <f t="shared" si="0"/>
        <v>112.11670588235295</v>
      </c>
      <c r="T14" s="51" t="s">
        <v>40</v>
      </c>
    </row>
    <row r="15" spans="2:20" x14ac:dyDescent="0.25">
      <c r="B15" s="8">
        <v>6</v>
      </c>
      <c r="C15" s="3" t="s">
        <v>41</v>
      </c>
      <c r="D15" s="3" t="s">
        <v>55</v>
      </c>
      <c r="E15" s="29" t="s">
        <v>17</v>
      </c>
      <c r="F15" s="29" t="s">
        <v>17</v>
      </c>
      <c r="G15" s="82">
        <v>3827</v>
      </c>
      <c r="H15" s="82">
        <v>1377.7</v>
      </c>
      <c r="I15" s="82">
        <v>2</v>
      </c>
      <c r="J15" s="83">
        <f t="shared" si="2"/>
        <v>2755.4</v>
      </c>
      <c r="K15" s="82" t="s">
        <v>17</v>
      </c>
      <c r="L15" s="82"/>
      <c r="M15" s="82"/>
      <c r="N15" s="82"/>
      <c r="O15" s="82">
        <v>30</v>
      </c>
      <c r="P15" s="4">
        <v>0.2</v>
      </c>
      <c r="Q15" s="81">
        <f t="shared" si="1"/>
        <v>99.194399999999987</v>
      </c>
      <c r="R15" s="82">
        <v>0.85</v>
      </c>
      <c r="S15" s="81">
        <f t="shared" si="0"/>
        <v>116.69929411764704</v>
      </c>
      <c r="T15" s="51" t="s">
        <v>40</v>
      </c>
    </row>
    <row r="16" spans="2:20" x14ac:dyDescent="0.25">
      <c r="B16" s="8">
        <v>7</v>
      </c>
      <c r="C16" s="3" t="s">
        <v>48</v>
      </c>
      <c r="D16" s="3" t="s">
        <v>56</v>
      </c>
      <c r="E16" s="29" t="s">
        <v>17</v>
      </c>
      <c r="F16" s="29" t="s">
        <v>17</v>
      </c>
      <c r="G16" s="82">
        <v>3223.6</v>
      </c>
      <c r="H16" s="82">
        <v>1160.5</v>
      </c>
      <c r="I16" s="82">
        <v>2</v>
      </c>
      <c r="J16" s="83">
        <f t="shared" si="2"/>
        <v>2321</v>
      </c>
      <c r="K16" s="85" t="s">
        <v>17</v>
      </c>
      <c r="L16" s="85"/>
      <c r="M16" s="85"/>
      <c r="N16" s="85"/>
      <c r="O16" s="82">
        <v>30</v>
      </c>
      <c r="P16" s="4">
        <v>0.2</v>
      </c>
      <c r="Q16" s="81">
        <f t="shared" si="1"/>
        <v>83.555999999999997</v>
      </c>
      <c r="R16" s="82">
        <v>0.85</v>
      </c>
      <c r="S16" s="81">
        <f t="shared" si="0"/>
        <v>98.301176470588231</v>
      </c>
      <c r="T16" s="51" t="s">
        <v>40</v>
      </c>
    </row>
    <row r="17" spans="2:26" x14ac:dyDescent="0.25">
      <c r="B17" s="8">
        <v>8</v>
      </c>
      <c r="C17" s="3" t="s">
        <v>49</v>
      </c>
      <c r="D17" s="3" t="s">
        <v>57</v>
      </c>
      <c r="E17" s="29" t="s">
        <v>17</v>
      </c>
      <c r="F17" s="29" t="s">
        <v>17</v>
      </c>
      <c r="G17" s="82">
        <v>1443</v>
      </c>
      <c r="H17" s="82">
        <v>519.20000000000005</v>
      </c>
      <c r="I17" s="82">
        <v>2</v>
      </c>
      <c r="J17" s="83">
        <f t="shared" si="2"/>
        <v>1038.4000000000001</v>
      </c>
      <c r="K17" s="82" t="s">
        <v>17</v>
      </c>
      <c r="L17" s="82"/>
      <c r="M17" s="82"/>
      <c r="N17" s="82"/>
      <c r="O17" s="82">
        <v>30</v>
      </c>
      <c r="P17" s="4">
        <v>0.2</v>
      </c>
      <c r="Q17" s="81">
        <f t="shared" si="1"/>
        <v>37.382400000000004</v>
      </c>
      <c r="R17" s="82">
        <v>0.85</v>
      </c>
      <c r="S17" s="81">
        <f t="shared" si="0"/>
        <v>43.979294117647065</v>
      </c>
      <c r="T17" s="51" t="s">
        <v>40</v>
      </c>
    </row>
    <row r="18" spans="2:26" x14ac:dyDescent="0.25">
      <c r="B18" s="8">
        <v>9</v>
      </c>
      <c r="C18" s="3" t="s">
        <v>43</v>
      </c>
      <c r="D18" s="3" t="s">
        <v>58</v>
      </c>
      <c r="E18" s="29" t="s">
        <v>17</v>
      </c>
      <c r="F18" s="29" t="s">
        <v>17</v>
      </c>
      <c r="G18" s="82">
        <v>1372.7</v>
      </c>
      <c r="H18" s="83">
        <v>494</v>
      </c>
      <c r="I18" s="82">
        <v>2</v>
      </c>
      <c r="J18" s="83">
        <f t="shared" si="2"/>
        <v>988</v>
      </c>
      <c r="K18" s="85" t="s">
        <v>17</v>
      </c>
      <c r="L18" s="85"/>
      <c r="M18" s="85"/>
      <c r="N18" s="85"/>
      <c r="O18" s="82">
        <v>30</v>
      </c>
      <c r="P18" s="4">
        <v>0.2</v>
      </c>
      <c r="Q18" s="81">
        <f t="shared" si="1"/>
        <v>35.567999999999998</v>
      </c>
      <c r="R18" s="82">
        <v>0.85</v>
      </c>
      <c r="S18" s="81">
        <f t="shared" si="0"/>
        <v>41.84470588235294</v>
      </c>
      <c r="T18" s="51" t="s">
        <v>40</v>
      </c>
    </row>
    <row r="19" spans="2:26" x14ac:dyDescent="0.25">
      <c r="B19" s="8">
        <v>10</v>
      </c>
      <c r="C19" s="3" t="s">
        <v>44</v>
      </c>
      <c r="D19" s="3" t="s">
        <v>59</v>
      </c>
      <c r="E19" s="29" t="s">
        <v>17</v>
      </c>
      <c r="F19" s="29" t="s">
        <v>17</v>
      </c>
      <c r="G19" s="82">
        <v>1372.7</v>
      </c>
      <c r="H19" s="83">
        <v>494</v>
      </c>
      <c r="I19" s="82">
        <v>2</v>
      </c>
      <c r="J19" s="83">
        <f t="shared" si="2"/>
        <v>988</v>
      </c>
      <c r="K19" s="82" t="s">
        <v>17</v>
      </c>
      <c r="L19" s="82"/>
      <c r="M19" s="82"/>
      <c r="N19" s="82"/>
      <c r="O19" s="82">
        <v>30</v>
      </c>
      <c r="P19" s="4">
        <v>0.2</v>
      </c>
      <c r="Q19" s="81">
        <f t="shared" si="1"/>
        <v>35.567999999999998</v>
      </c>
      <c r="R19" s="82">
        <v>0.85</v>
      </c>
      <c r="S19" s="81">
        <f t="shared" si="0"/>
        <v>41.84470588235294</v>
      </c>
      <c r="T19" s="51" t="s">
        <v>40</v>
      </c>
    </row>
    <row r="20" spans="2:26" x14ac:dyDescent="0.25">
      <c r="B20" s="8">
        <v>11</v>
      </c>
      <c r="C20" s="3" t="s">
        <v>50</v>
      </c>
      <c r="D20" s="3" t="s">
        <v>51</v>
      </c>
      <c r="E20" s="29" t="s">
        <v>17</v>
      </c>
      <c r="F20" s="29" t="s">
        <v>17</v>
      </c>
      <c r="G20" s="82">
        <v>15549.6</v>
      </c>
      <c r="H20" s="82">
        <v>3304.7</v>
      </c>
      <c r="I20" s="82">
        <v>5</v>
      </c>
      <c r="J20" s="83">
        <f t="shared" si="2"/>
        <v>16523.5</v>
      </c>
      <c r="K20" s="85" t="s">
        <v>17</v>
      </c>
      <c r="L20" s="85"/>
      <c r="M20" s="85"/>
      <c r="N20" s="85"/>
      <c r="O20" s="82">
        <v>13</v>
      </c>
      <c r="P20" s="4">
        <v>0.2</v>
      </c>
      <c r="Q20" s="81">
        <f t="shared" si="1"/>
        <v>257.76659999999998</v>
      </c>
      <c r="R20" s="82">
        <v>0.85</v>
      </c>
      <c r="S20" s="81">
        <f t="shared" si="0"/>
        <v>303.25482352941174</v>
      </c>
      <c r="T20" s="51" t="s">
        <v>70</v>
      </c>
      <c r="V20" s="90" t="s">
        <v>86</v>
      </c>
    </row>
    <row r="21" spans="2:26" x14ac:dyDescent="0.25">
      <c r="B21" s="8">
        <v>12</v>
      </c>
      <c r="C21" s="3" t="s">
        <v>67</v>
      </c>
      <c r="D21" s="3" t="s">
        <v>60</v>
      </c>
      <c r="E21" s="29" t="s">
        <v>17</v>
      </c>
      <c r="F21" s="29" t="s">
        <v>17</v>
      </c>
      <c r="G21" s="82">
        <v>370</v>
      </c>
      <c r="H21" s="82">
        <v>129.5</v>
      </c>
      <c r="I21" s="82">
        <v>1</v>
      </c>
      <c r="J21" s="83">
        <f t="shared" si="2"/>
        <v>129.5</v>
      </c>
      <c r="K21" s="82" t="s">
        <v>17</v>
      </c>
      <c r="L21" s="82"/>
      <c r="M21" s="82"/>
      <c r="N21" s="82"/>
      <c r="O21" s="82">
        <v>30</v>
      </c>
      <c r="P21" s="4">
        <v>0.2</v>
      </c>
      <c r="Q21" s="81">
        <f t="shared" si="1"/>
        <v>4.6619999999999999</v>
      </c>
      <c r="R21" s="82">
        <v>0.85</v>
      </c>
      <c r="S21" s="81">
        <f t="shared" si="0"/>
        <v>5.4847058823529409</v>
      </c>
      <c r="T21" s="51" t="s">
        <v>40</v>
      </c>
    </row>
    <row r="22" spans="2:26" x14ac:dyDescent="0.25">
      <c r="B22" s="8">
        <v>13</v>
      </c>
      <c r="C22" s="3" t="s">
        <v>68</v>
      </c>
      <c r="D22" s="3" t="s">
        <v>61</v>
      </c>
      <c r="E22" s="29" t="s">
        <v>17</v>
      </c>
      <c r="F22" s="29" t="s">
        <v>17</v>
      </c>
      <c r="G22" s="82">
        <v>1182.4000000000001</v>
      </c>
      <c r="H22" s="82">
        <v>413.8</v>
      </c>
      <c r="I22" s="82">
        <v>1</v>
      </c>
      <c r="J22" s="83">
        <f t="shared" si="2"/>
        <v>413.8</v>
      </c>
      <c r="K22" s="85" t="s">
        <v>17</v>
      </c>
      <c r="L22" s="85"/>
      <c r="M22" s="85"/>
      <c r="N22" s="85"/>
      <c r="O22" s="82">
        <v>30</v>
      </c>
      <c r="P22" s="4">
        <v>0.2</v>
      </c>
      <c r="Q22" s="81">
        <f t="shared" si="1"/>
        <v>14.896799999999999</v>
      </c>
      <c r="R22" s="82">
        <v>0.85</v>
      </c>
      <c r="S22" s="81">
        <f t="shared" si="0"/>
        <v>17.52564705882353</v>
      </c>
      <c r="T22" s="51" t="s">
        <v>40</v>
      </c>
      <c r="V22" s="89"/>
      <c r="W22" s="98" t="s">
        <v>87</v>
      </c>
      <c r="X22" s="98"/>
      <c r="Y22" s="98"/>
      <c r="Z22" s="98"/>
    </row>
    <row r="23" spans="2:26" x14ac:dyDescent="0.25">
      <c r="B23" s="8">
        <v>14</v>
      </c>
      <c r="C23" s="3" t="s">
        <v>69</v>
      </c>
      <c r="D23" s="3" t="s">
        <v>62</v>
      </c>
      <c r="E23" s="29" t="s">
        <v>17</v>
      </c>
      <c r="F23" s="29" t="s">
        <v>17</v>
      </c>
      <c r="G23" s="82">
        <v>371.1</v>
      </c>
      <c r="H23" s="82">
        <v>129.9</v>
      </c>
      <c r="I23" s="82">
        <v>1</v>
      </c>
      <c r="J23" s="83">
        <f t="shared" si="2"/>
        <v>129.9</v>
      </c>
      <c r="K23" s="82" t="s">
        <v>17</v>
      </c>
      <c r="L23" s="82"/>
      <c r="M23" s="82"/>
      <c r="N23" s="82"/>
      <c r="O23" s="82">
        <v>30</v>
      </c>
      <c r="P23" s="4">
        <v>0.2</v>
      </c>
      <c r="Q23" s="81">
        <f t="shared" si="1"/>
        <v>4.6763999999999992</v>
      </c>
      <c r="R23" s="82">
        <v>0.85</v>
      </c>
      <c r="S23" s="81">
        <f t="shared" si="0"/>
        <v>5.5016470588235284</v>
      </c>
      <c r="T23" s="51" t="s">
        <v>40</v>
      </c>
      <c r="W23" s="98"/>
      <c r="X23" s="98"/>
      <c r="Y23" s="98"/>
      <c r="Z23" s="98"/>
    </row>
    <row r="24" spans="2:26" x14ac:dyDescent="0.25">
      <c r="B24" s="8">
        <v>15</v>
      </c>
      <c r="C24" s="3" t="s">
        <v>65</v>
      </c>
      <c r="D24" s="3" t="s">
        <v>66</v>
      </c>
      <c r="E24" s="29" t="s">
        <v>17</v>
      </c>
      <c r="F24" s="29" t="s">
        <v>17</v>
      </c>
      <c r="G24" s="82">
        <v>3984</v>
      </c>
      <c r="H24" s="29" t="s">
        <v>17</v>
      </c>
      <c r="I24" s="29" t="s">
        <v>17</v>
      </c>
      <c r="J24" s="29" t="s">
        <v>17</v>
      </c>
      <c r="K24" s="85" t="s">
        <v>17</v>
      </c>
      <c r="L24" s="85"/>
      <c r="M24" s="85"/>
      <c r="N24" s="85"/>
      <c r="O24" s="82">
        <v>1</v>
      </c>
      <c r="P24" s="4">
        <v>0.2</v>
      </c>
      <c r="Q24" s="81">
        <f>(G24*O24*1.2)/1000</f>
        <v>4.7808000000000002</v>
      </c>
      <c r="R24" s="82">
        <v>0.85</v>
      </c>
      <c r="S24" s="81">
        <f t="shared" si="0"/>
        <v>5.6244705882352948</v>
      </c>
      <c r="T24" s="51" t="s">
        <v>40</v>
      </c>
      <c r="W24" s="98"/>
      <c r="X24" s="98"/>
      <c r="Y24" s="98"/>
      <c r="Z24" s="98"/>
    </row>
    <row r="25" spans="2:26" ht="16.5" x14ac:dyDescent="0.25">
      <c r="B25" s="52" t="s">
        <v>16</v>
      </c>
      <c r="C25" s="40" t="s">
        <v>18</v>
      </c>
      <c r="D25" s="48"/>
      <c r="E25" s="49"/>
      <c r="F25" s="49"/>
      <c r="G25" s="35">
        <f>SUM(G26:G27)</f>
        <v>63639.8</v>
      </c>
      <c r="H25" s="35"/>
      <c r="I25" s="35"/>
      <c r="J25" s="35"/>
      <c r="K25" s="35"/>
      <c r="L25" s="35"/>
      <c r="M25" s="35"/>
      <c r="N25" s="35"/>
      <c r="O25" s="46" t="s">
        <v>74</v>
      </c>
      <c r="P25" s="37"/>
      <c r="Q25" s="43">
        <f>SUM(Q26:Q27)</f>
        <v>38.183880000000002</v>
      </c>
      <c r="R25" s="40"/>
      <c r="S25" s="44">
        <f>SUM(S26:S27)</f>
        <v>44.922211764705885</v>
      </c>
      <c r="T25" s="60"/>
    </row>
    <row r="26" spans="2:26" ht="17.45" customHeight="1" x14ac:dyDescent="0.25">
      <c r="B26" s="10">
        <v>1</v>
      </c>
      <c r="C26" s="12" t="s">
        <v>63</v>
      </c>
      <c r="D26" s="3"/>
      <c r="E26" s="5" t="s">
        <v>17</v>
      </c>
      <c r="F26" s="5" t="s">
        <v>17</v>
      </c>
      <c r="G26" s="83">
        <v>45541.9</v>
      </c>
      <c r="H26" s="5" t="s">
        <v>17</v>
      </c>
      <c r="I26" s="5" t="s">
        <v>17</v>
      </c>
      <c r="J26" s="5" t="s">
        <v>17</v>
      </c>
      <c r="K26" s="82" t="s">
        <v>17</v>
      </c>
      <c r="L26" s="82"/>
      <c r="M26" s="82"/>
      <c r="N26" s="82"/>
      <c r="O26" s="82">
        <v>0.5</v>
      </c>
      <c r="P26" s="4">
        <v>0.2</v>
      </c>
      <c r="Q26" s="81">
        <f>(G26*O26*1.2)/1000</f>
        <v>27.325140000000001</v>
      </c>
      <c r="R26" s="82">
        <v>0.85</v>
      </c>
      <c r="S26" s="81">
        <f>Q26/R26</f>
        <v>32.147223529411768</v>
      </c>
      <c r="T26" s="51" t="s">
        <v>40</v>
      </c>
    </row>
    <row r="27" spans="2:26" ht="17.45" customHeight="1" x14ac:dyDescent="0.25">
      <c r="B27" s="10">
        <v>2</v>
      </c>
      <c r="C27" s="12" t="s">
        <v>64</v>
      </c>
      <c r="D27" s="3"/>
      <c r="E27" s="5" t="s">
        <v>17</v>
      </c>
      <c r="F27" s="5" t="s">
        <v>17</v>
      </c>
      <c r="G27" s="83">
        <v>18097.900000000001</v>
      </c>
      <c r="H27" s="5" t="s">
        <v>17</v>
      </c>
      <c r="I27" s="5" t="s">
        <v>17</v>
      </c>
      <c r="J27" s="5" t="s">
        <v>17</v>
      </c>
      <c r="K27" s="85" t="s">
        <v>17</v>
      </c>
      <c r="L27" s="85"/>
      <c r="M27" s="85"/>
      <c r="N27" s="85"/>
      <c r="O27" s="82">
        <v>0.5</v>
      </c>
      <c r="P27" s="4">
        <v>0.2</v>
      </c>
      <c r="Q27" s="81">
        <f>(G27*O27*1.2)/1000</f>
        <v>10.858739999999999</v>
      </c>
      <c r="R27" s="82">
        <v>0.85</v>
      </c>
      <c r="S27" s="81">
        <f t="shared" ref="S27" si="3">Q27/R27</f>
        <v>12.774988235294117</v>
      </c>
      <c r="T27" s="51" t="s">
        <v>40</v>
      </c>
    </row>
    <row r="28" spans="2:26" ht="17.45" customHeight="1" x14ac:dyDescent="0.25">
      <c r="B28" s="53" t="s">
        <v>22</v>
      </c>
      <c r="C28" s="40" t="s">
        <v>23</v>
      </c>
      <c r="D28" s="40"/>
      <c r="E28" s="40"/>
      <c r="F28" s="40"/>
      <c r="G28" s="35">
        <f>SUM(G29:G30)</f>
        <v>190207.47</v>
      </c>
      <c r="H28" s="42"/>
      <c r="I28" s="42"/>
      <c r="J28" s="42"/>
      <c r="K28" s="42"/>
      <c r="L28" s="42"/>
      <c r="M28" s="42"/>
      <c r="N28" s="42"/>
      <c r="O28" s="46" t="s">
        <v>74</v>
      </c>
      <c r="P28" s="37"/>
      <c r="Q28" s="43">
        <f>SUM(Q29:Q30)</f>
        <v>228.248964</v>
      </c>
      <c r="R28" s="35"/>
      <c r="S28" s="43">
        <f>S29+S30</f>
        <v>268.52819294117648</v>
      </c>
      <c r="T28" s="60"/>
    </row>
    <row r="29" spans="2:26" x14ac:dyDescent="0.25">
      <c r="B29" s="20">
        <v>1</v>
      </c>
      <c r="C29" s="50" t="s">
        <v>72</v>
      </c>
      <c r="D29" s="50"/>
      <c r="E29" s="5" t="s">
        <v>17</v>
      </c>
      <c r="F29" s="5" t="s">
        <v>17</v>
      </c>
      <c r="G29" s="19">
        <v>122200.7</v>
      </c>
      <c r="H29" s="5" t="s">
        <v>17</v>
      </c>
      <c r="I29" s="5" t="s">
        <v>17</v>
      </c>
      <c r="J29" s="5" t="s">
        <v>17</v>
      </c>
      <c r="K29" s="82" t="s">
        <v>17</v>
      </c>
      <c r="L29" s="82"/>
      <c r="M29" s="82"/>
      <c r="N29" s="82"/>
      <c r="O29" s="19">
        <v>1</v>
      </c>
      <c r="P29" s="4">
        <v>0.2</v>
      </c>
      <c r="Q29" s="81">
        <f>(G29*O29*1.2)/1000</f>
        <v>146.64084</v>
      </c>
      <c r="R29" s="82">
        <v>0.85</v>
      </c>
      <c r="S29" s="81">
        <f>Q29/R29</f>
        <v>172.51863529411764</v>
      </c>
      <c r="T29" s="51" t="s">
        <v>40</v>
      </c>
    </row>
    <row r="30" spans="2:26" x14ac:dyDescent="0.25">
      <c r="B30" s="75">
        <v>2</v>
      </c>
      <c r="C30" s="61" t="s">
        <v>73</v>
      </c>
      <c r="D30" s="61"/>
      <c r="E30" s="62" t="s">
        <v>17</v>
      </c>
      <c r="F30" s="62" t="s">
        <v>17</v>
      </c>
      <c r="G30" s="63">
        <v>68006.77</v>
      </c>
      <c r="H30" s="62" t="s">
        <v>17</v>
      </c>
      <c r="I30" s="62" t="s">
        <v>17</v>
      </c>
      <c r="J30" s="62" t="s">
        <v>17</v>
      </c>
      <c r="K30" s="85" t="s">
        <v>17</v>
      </c>
      <c r="L30" s="92"/>
      <c r="M30" s="92"/>
      <c r="N30" s="92"/>
      <c r="O30" s="64">
        <v>1</v>
      </c>
      <c r="P30" s="65">
        <v>0.2</v>
      </c>
      <c r="Q30" s="80">
        <f>(G30*O30*1.2)/1000</f>
        <v>81.608123999999989</v>
      </c>
      <c r="R30" s="66">
        <v>0.85</v>
      </c>
      <c r="S30" s="80">
        <f t="shared" ref="S30" si="4">Q30/R30</f>
        <v>96.009557647058813</v>
      </c>
      <c r="T30" s="67" t="s">
        <v>40</v>
      </c>
    </row>
    <row r="31" spans="2:26" x14ac:dyDescent="0.25">
      <c r="B31" s="53" t="s">
        <v>76</v>
      </c>
      <c r="C31" s="40" t="s">
        <v>77</v>
      </c>
      <c r="D31" s="48"/>
      <c r="E31" s="72"/>
      <c r="F31" s="72"/>
      <c r="G31" s="73"/>
      <c r="H31" s="72"/>
      <c r="I31" s="72"/>
      <c r="J31" s="72"/>
      <c r="K31" s="72"/>
      <c r="L31" s="72"/>
      <c r="M31" s="72"/>
      <c r="N31" s="72"/>
      <c r="O31" s="46" t="s">
        <v>81</v>
      </c>
      <c r="P31" s="74"/>
      <c r="Q31" s="43">
        <f>SUM(Q32:Q35)</f>
        <v>1271.7816</v>
      </c>
      <c r="R31" s="35"/>
      <c r="S31" s="43">
        <f>SUM(S32:S35)</f>
        <v>1496.2136470588234</v>
      </c>
      <c r="T31" s="60"/>
    </row>
    <row r="32" spans="2:26" x14ac:dyDescent="0.25">
      <c r="B32" s="20">
        <v>1</v>
      </c>
      <c r="C32" s="50" t="s">
        <v>102</v>
      </c>
      <c r="D32" s="21"/>
      <c r="E32" s="5" t="s">
        <v>17</v>
      </c>
      <c r="F32" s="5" t="s">
        <v>17</v>
      </c>
      <c r="G32" s="82" t="s">
        <v>17</v>
      </c>
      <c r="H32" s="5" t="s">
        <v>17</v>
      </c>
      <c r="I32" s="5" t="s">
        <v>17</v>
      </c>
      <c r="J32" s="82" t="s">
        <v>17</v>
      </c>
      <c r="K32" s="93">
        <v>61</v>
      </c>
      <c r="L32" s="34">
        <v>0.25</v>
      </c>
      <c r="M32" s="93">
        <f>K32*0.25</f>
        <v>15.25</v>
      </c>
      <c r="N32" s="91">
        <v>0.51</v>
      </c>
      <c r="O32" s="7">
        <v>11</v>
      </c>
      <c r="P32" s="4">
        <v>0.2</v>
      </c>
      <c r="Q32" s="81">
        <f>M32*O32*N32*1.2</f>
        <v>102.663</v>
      </c>
      <c r="R32" s="82">
        <v>0.85</v>
      </c>
      <c r="S32" s="81">
        <f>Q32/R32</f>
        <v>120.78</v>
      </c>
      <c r="T32" s="51" t="s">
        <v>104</v>
      </c>
    </row>
    <row r="33" spans="2:20" x14ac:dyDescent="0.25">
      <c r="B33" s="20">
        <v>2</v>
      </c>
      <c r="C33" s="50" t="s">
        <v>89</v>
      </c>
      <c r="D33" s="21"/>
      <c r="E33" s="62"/>
      <c r="F33" s="62"/>
      <c r="G33" s="82"/>
      <c r="H33" s="62"/>
      <c r="I33" s="62"/>
      <c r="J33" s="82"/>
      <c r="K33" s="93">
        <v>61</v>
      </c>
      <c r="L33" s="34">
        <v>0.25</v>
      </c>
      <c r="M33" s="93">
        <f t="shared" ref="M33" si="5">K33*0.25</f>
        <v>15.25</v>
      </c>
      <c r="N33" s="91">
        <v>0.49</v>
      </c>
      <c r="O33" s="7">
        <v>11</v>
      </c>
      <c r="P33" s="4">
        <v>0.2</v>
      </c>
      <c r="Q33" s="81">
        <f>M33*O33*N33*1.2</f>
        <v>98.637</v>
      </c>
      <c r="R33" s="82">
        <v>0.85</v>
      </c>
      <c r="S33" s="81">
        <f>Q33/R33</f>
        <v>116.04352941176471</v>
      </c>
      <c r="T33" s="51" t="s">
        <v>105</v>
      </c>
    </row>
    <row r="34" spans="2:20" x14ac:dyDescent="0.25">
      <c r="B34" s="20">
        <v>2</v>
      </c>
      <c r="C34" s="50" t="s">
        <v>78</v>
      </c>
      <c r="D34" s="21"/>
      <c r="E34" s="62" t="s">
        <v>17</v>
      </c>
      <c r="F34" s="62" t="s">
        <v>17</v>
      </c>
      <c r="G34" s="85" t="s">
        <v>17</v>
      </c>
      <c r="H34" s="62" t="s">
        <v>17</v>
      </c>
      <c r="I34" s="62" t="s">
        <v>17</v>
      </c>
      <c r="J34" s="85" t="s">
        <v>17</v>
      </c>
      <c r="K34" s="93">
        <v>1180</v>
      </c>
      <c r="L34" s="34">
        <v>0.4</v>
      </c>
      <c r="M34" s="93">
        <f>K34*0.4</f>
        <v>472</v>
      </c>
      <c r="N34" s="91">
        <v>0.37</v>
      </c>
      <c r="O34" s="7">
        <v>1.2</v>
      </c>
      <c r="P34" s="65">
        <v>0.2</v>
      </c>
      <c r="Q34" s="81">
        <f>M34*O34*N34*1.2</f>
        <v>251.48159999999996</v>
      </c>
      <c r="R34" s="66">
        <v>0.85</v>
      </c>
      <c r="S34" s="81">
        <f t="shared" ref="S34:S35" si="6">Q34/R34</f>
        <v>295.86070588235287</v>
      </c>
      <c r="T34" s="51" t="s">
        <v>93</v>
      </c>
    </row>
    <row r="35" spans="2:20" x14ac:dyDescent="0.25">
      <c r="B35" s="20">
        <v>3</v>
      </c>
      <c r="C35" s="50" t="s">
        <v>83</v>
      </c>
      <c r="D35" s="21"/>
      <c r="E35" s="62" t="s">
        <v>17</v>
      </c>
      <c r="F35" s="62" t="s">
        <v>17</v>
      </c>
      <c r="G35" s="85" t="s">
        <v>17</v>
      </c>
      <c r="H35" s="62" t="s">
        <v>17</v>
      </c>
      <c r="I35" s="62" t="s">
        <v>17</v>
      </c>
      <c r="J35" s="85" t="s">
        <v>17</v>
      </c>
      <c r="K35" s="93">
        <v>7</v>
      </c>
      <c r="L35" s="34">
        <v>1</v>
      </c>
      <c r="M35" s="93">
        <f>K35*1</f>
        <v>7</v>
      </c>
      <c r="N35" s="91">
        <v>0.65</v>
      </c>
      <c r="O35" s="7">
        <v>150</v>
      </c>
      <c r="P35" s="65">
        <v>0.2</v>
      </c>
      <c r="Q35" s="81">
        <f>M35*O35*N35*1.2</f>
        <v>819</v>
      </c>
      <c r="R35" s="66">
        <v>0.85</v>
      </c>
      <c r="S35" s="81">
        <f t="shared" si="6"/>
        <v>963.52941176470586</v>
      </c>
      <c r="T35" s="51" t="s">
        <v>94</v>
      </c>
    </row>
    <row r="36" spans="2:20" x14ac:dyDescent="0.25">
      <c r="B36" s="53" t="s">
        <v>1</v>
      </c>
      <c r="C36" s="40" t="s">
        <v>92</v>
      </c>
      <c r="D36" s="48"/>
      <c r="E36" s="72"/>
      <c r="F36" s="72"/>
      <c r="G36" s="73"/>
      <c r="H36" s="72"/>
      <c r="I36" s="72"/>
      <c r="J36" s="72"/>
      <c r="K36" s="72"/>
      <c r="L36" s="72"/>
      <c r="M36" s="72"/>
      <c r="N36" s="72"/>
      <c r="O36" s="46" t="s">
        <v>81</v>
      </c>
      <c r="P36" s="74"/>
      <c r="Q36" s="43">
        <f>SUM(Q37:Q38)</f>
        <v>369.36</v>
      </c>
      <c r="R36" s="35"/>
      <c r="S36" s="43">
        <f>S37+S38</f>
        <v>434.54117647058825</v>
      </c>
      <c r="T36" s="60"/>
    </row>
    <row r="37" spans="2:20" x14ac:dyDescent="0.25">
      <c r="B37" s="20">
        <v>1</v>
      </c>
      <c r="C37" s="50" t="s">
        <v>103</v>
      </c>
      <c r="D37" s="76"/>
      <c r="E37" s="5" t="s">
        <v>17</v>
      </c>
      <c r="F37" s="5" t="s">
        <v>17</v>
      </c>
      <c r="G37" s="82" t="s">
        <v>17</v>
      </c>
      <c r="H37" s="5" t="s">
        <v>17</v>
      </c>
      <c r="I37" s="5" t="s">
        <v>17</v>
      </c>
      <c r="J37" s="82" t="s">
        <v>17</v>
      </c>
      <c r="K37" s="94">
        <v>18</v>
      </c>
      <c r="L37" s="34">
        <v>0.5</v>
      </c>
      <c r="M37" s="95">
        <f>K37*0.5</f>
        <v>9</v>
      </c>
      <c r="N37" s="91">
        <v>0.57999999999999996</v>
      </c>
      <c r="O37" s="7">
        <v>30</v>
      </c>
      <c r="P37" s="4">
        <v>0.2</v>
      </c>
      <c r="Q37" s="81">
        <f>M37*O37*N37*1.2</f>
        <v>187.92</v>
      </c>
      <c r="R37" s="82">
        <v>0.85</v>
      </c>
      <c r="S37" s="81">
        <f>Q37/R37</f>
        <v>221.08235294117645</v>
      </c>
      <c r="T37" s="51" t="s">
        <v>104</v>
      </c>
    </row>
    <row r="38" spans="2:20" x14ac:dyDescent="0.25">
      <c r="B38" s="20">
        <v>2</v>
      </c>
      <c r="C38" s="50" t="s">
        <v>91</v>
      </c>
      <c r="D38" s="76"/>
      <c r="E38" s="5" t="s">
        <v>17</v>
      </c>
      <c r="F38" s="5" t="s">
        <v>17</v>
      </c>
      <c r="G38" s="82" t="s">
        <v>17</v>
      </c>
      <c r="H38" s="5" t="s">
        <v>17</v>
      </c>
      <c r="I38" s="5" t="s">
        <v>17</v>
      </c>
      <c r="J38" s="82" t="s">
        <v>17</v>
      </c>
      <c r="K38" s="94">
        <v>18</v>
      </c>
      <c r="L38" s="34">
        <v>0.5</v>
      </c>
      <c r="M38" s="95">
        <f>K38*0.5</f>
        <v>9</v>
      </c>
      <c r="N38" s="91">
        <v>0.56000000000000005</v>
      </c>
      <c r="O38" s="7">
        <v>30</v>
      </c>
      <c r="P38" s="65">
        <v>0.2</v>
      </c>
      <c r="Q38" s="81">
        <f>M38*O38*N38*1.2</f>
        <v>181.44000000000003</v>
      </c>
      <c r="R38" s="66">
        <v>0.85</v>
      </c>
      <c r="S38" s="80">
        <f t="shared" ref="S38" si="7">Q38/R38</f>
        <v>213.4588235294118</v>
      </c>
      <c r="T38" s="51" t="s">
        <v>105</v>
      </c>
    </row>
    <row r="39" spans="2:20" ht="28.15" customHeight="1" thickBot="1" x14ac:dyDescent="0.3">
      <c r="B39" s="96" t="s">
        <v>20</v>
      </c>
      <c r="C39" s="97"/>
      <c r="D39" s="97"/>
      <c r="E39" s="68"/>
      <c r="F39" s="68"/>
      <c r="G39" s="68">
        <f>G6+G9+G25+G28</f>
        <v>544189.97</v>
      </c>
      <c r="H39" s="79"/>
      <c r="I39" s="79"/>
      <c r="J39" s="79"/>
      <c r="K39" s="79"/>
      <c r="L39" s="79"/>
      <c r="M39" s="79"/>
      <c r="N39" s="87"/>
      <c r="O39" s="79"/>
      <c r="P39" s="79"/>
      <c r="Q39" s="70">
        <f>SUM(Q25,Q9,Q6,Q28,Q31,Q36)</f>
        <v>8574.1618440000002</v>
      </c>
      <c r="R39" s="70"/>
      <c r="S39" s="70">
        <f>SUM(S25,S9,S6,S28,S31,S36)</f>
        <v>10087.249228235294</v>
      </c>
      <c r="T39" s="71"/>
    </row>
    <row r="40" spans="2:20" x14ac:dyDescent="0.25">
      <c r="B40" s="2"/>
    </row>
    <row r="41" spans="2:20" x14ac:dyDescent="0.25">
      <c r="B41" s="2"/>
      <c r="S41" s="77">
        <f>S39*0.001</f>
        <v>10.087249228235294</v>
      </c>
      <c r="T41" s="1" t="s">
        <v>82</v>
      </c>
    </row>
    <row r="42" spans="2:20" x14ac:dyDescent="0.25">
      <c r="B42" s="2"/>
    </row>
    <row r="43" spans="2:20" x14ac:dyDescent="0.25">
      <c r="B43" s="2"/>
    </row>
    <row r="44" spans="2:20" x14ac:dyDescent="0.25">
      <c r="B44" s="2"/>
    </row>
    <row r="45" spans="2:20" x14ac:dyDescent="0.25">
      <c r="B45" s="2"/>
    </row>
    <row r="46" spans="2:20" x14ac:dyDescent="0.25">
      <c r="B46" s="2"/>
    </row>
    <row r="47" spans="2:20" x14ac:dyDescent="0.25">
      <c r="B47" s="2"/>
      <c r="C47" s="2"/>
      <c r="D47" s="2"/>
    </row>
    <row r="48" spans="2:20" x14ac:dyDescent="0.25">
      <c r="B48" s="2"/>
      <c r="C48" s="2"/>
      <c r="D48" s="2"/>
    </row>
    <row r="49" spans="2:21" x14ac:dyDescent="0.25">
      <c r="B49" s="2"/>
      <c r="C49" s="2"/>
      <c r="D49" s="2"/>
      <c r="E49" s="2"/>
      <c r="F49" s="2"/>
    </row>
    <row r="64" spans="2:21" x14ac:dyDescent="0.25">
      <c r="U64" s="2"/>
    </row>
    <row r="65" ht="14.25" customHeight="1" x14ac:dyDescent="0.25"/>
    <row r="66" ht="14.25" customHeight="1" x14ac:dyDescent="0.25"/>
    <row r="77" ht="17.25" customHeight="1" x14ac:dyDescent="0.25"/>
  </sheetData>
  <mergeCells count="16">
    <mergeCell ref="B2:T2"/>
    <mergeCell ref="B3:B4"/>
    <mergeCell ref="C3:C4"/>
    <mergeCell ref="D3:D4"/>
    <mergeCell ref="O3:O4"/>
    <mergeCell ref="P3:P4"/>
    <mergeCell ref="Q3:Q4"/>
    <mergeCell ref="R3:R4"/>
    <mergeCell ref="S3:S4"/>
    <mergeCell ref="N3:N4"/>
    <mergeCell ref="T3:T4"/>
    <mergeCell ref="B39:D39"/>
    <mergeCell ref="W22:Z24"/>
    <mergeCell ref="E3:K3"/>
    <mergeCell ref="M3:M4"/>
    <mergeCell ref="L3:L4"/>
  </mergeCells>
  <phoneticPr fontId="11" type="noConversion"/>
  <pageMargins left="0.7" right="0.7" top="0.75" bottom="0.75" header="0.3" footer="0.3"/>
  <pageSetup scale="5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6343-DF6E-457F-B30D-99E350D763B0}">
  <sheetPr>
    <pageSetUpPr fitToPage="1"/>
  </sheetPr>
  <dimension ref="A1:Y77"/>
  <sheetViews>
    <sheetView zoomScale="85" zoomScaleNormal="85" zoomScaleSheetLayoutView="100" workbookViewId="0">
      <pane xSplit="1" ySplit="4" topLeftCell="B31" activePane="bottomRight" state="frozen"/>
      <selection pane="topRight" activeCell="C1" sqref="C1"/>
      <selection pane="bottomLeft" activeCell="A5" sqref="A5"/>
      <selection pane="bottomRight" activeCell="B29" sqref="B29"/>
    </sheetView>
  </sheetViews>
  <sheetFormatPr defaultColWidth="8.85546875" defaultRowHeight="15.75" x14ac:dyDescent="0.25"/>
  <cols>
    <col min="1" max="1" width="5.140625" style="1" bestFit="1" customWidth="1"/>
    <col min="2" max="2" width="45" style="1" customWidth="1"/>
    <col min="3" max="3" width="13.140625" style="1" customWidth="1"/>
    <col min="4" max="5" width="10.140625" style="1" customWidth="1"/>
    <col min="6" max="13" width="11.42578125" style="1" customWidth="1"/>
    <col min="14" max="14" width="13.5703125" style="1" customWidth="1"/>
    <col min="15" max="15" width="10.28515625" style="1" customWidth="1"/>
    <col min="16" max="16" width="12" style="1" customWidth="1"/>
    <col min="17" max="17" width="7.28515625" style="1" customWidth="1"/>
    <col min="18" max="18" width="12.42578125" style="1" customWidth="1"/>
    <col min="19" max="19" width="34.28515625" style="1" customWidth="1"/>
    <col min="20" max="20" width="15.7109375" style="1" customWidth="1"/>
    <col min="21" max="16384" width="8.85546875" style="1"/>
  </cols>
  <sheetData>
    <row r="1" spans="1:19" ht="16.5" thickBot="1" x14ac:dyDescent="0.3"/>
    <row r="2" spans="1:19" ht="39" customHeight="1" x14ac:dyDescent="0.25">
      <c r="A2" s="104" t="s">
        <v>85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6"/>
    </row>
    <row r="3" spans="1:19" ht="22.9" customHeight="1" x14ac:dyDescent="0.25">
      <c r="A3" s="107" t="s">
        <v>0</v>
      </c>
      <c r="B3" s="108" t="s">
        <v>2</v>
      </c>
      <c r="C3" s="108" t="s">
        <v>21</v>
      </c>
      <c r="D3" s="99" t="s">
        <v>3</v>
      </c>
      <c r="E3" s="100"/>
      <c r="F3" s="100"/>
      <c r="G3" s="100"/>
      <c r="H3" s="100"/>
      <c r="I3" s="100"/>
      <c r="J3" s="101"/>
      <c r="K3" s="102" t="s">
        <v>97</v>
      </c>
      <c r="L3" s="102" t="s">
        <v>99</v>
      </c>
      <c r="M3" s="102" t="s">
        <v>100</v>
      </c>
      <c r="N3" s="108" t="s">
        <v>5</v>
      </c>
      <c r="O3" s="108" t="s">
        <v>6</v>
      </c>
      <c r="P3" s="108" t="s">
        <v>7</v>
      </c>
      <c r="Q3" s="108" t="s">
        <v>24</v>
      </c>
      <c r="R3" s="108" t="s">
        <v>9</v>
      </c>
      <c r="S3" s="109" t="s">
        <v>38</v>
      </c>
    </row>
    <row r="4" spans="1:19" ht="55.9" customHeight="1" x14ac:dyDescent="0.25">
      <c r="A4" s="107"/>
      <c r="B4" s="108"/>
      <c r="C4" s="108"/>
      <c r="D4" s="38" t="s">
        <v>4</v>
      </c>
      <c r="E4" s="38" t="s">
        <v>33</v>
      </c>
      <c r="F4" s="78" t="s">
        <v>28</v>
      </c>
      <c r="G4" s="78" t="s">
        <v>29</v>
      </c>
      <c r="H4" s="78" t="s">
        <v>31</v>
      </c>
      <c r="I4" s="78" t="s">
        <v>30</v>
      </c>
      <c r="J4" s="78" t="s">
        <v>79</v>
      </c>
      <c r="K4" s="103"/>
      <c r="L4" s="103"/>
      <c r="M4" s="103"/>
      <c r="N4" s="108"/>
      <c r="O4" s="108"/>
      <c r="P4" s="108"/>
      <c r="Q4" s="108"/>
      <c r="R4" s="108"/>
      <c r="S4" s="109"/>
    </row>
    <row r="5" spans="1:19" ht="16.5" thickBot="1" x14ac:dyDescent="0.3">
      <c r="A5" s="54"/>
      <c r="B5" s="55"/>
      <c r="C5" s="55"/>
      <c r="D5" s="55"/>
      <c r="E5" s="55"/>
      <c r="F5" s="11" t="s">
        <v>10</v>
      </c>
      <c r="G5" s="11" t="s">
        <v>75</v>
      </c>
      <c r="H5" s="11"/>
      <c r="I5" s="11" t="s">
        <v>75</v>
      </c>
      <c r="J5" s="11" t="s">
        <v>80</v>
      </c>
      <c r="K5" s="11" t="s">
        <v>98</v>
      </c>
      <c r="L5" s="11" t="s">
        <v>80</v>
      </c>
      <c r="M5" s="11" t="s">
        <v>101</v>
      </c>
      <c r="N5" s="55"/>
      <c r="O5" s="55"/>
      <c r="P5" s="11" t="s">
        <v>11</v>
      </c>
      <c r="Q5" s="56" t="s">
        <v>8</v>
      </c>
      <c r="R5" s="57" t="s">
        <v>12</v>
      </c>
      <c r="S5" s="58"/>
    </row>
    <row r="6" spans="1:19" x14ac:dyDescent="0.25">
      <c r="A6" s="13" t="s">
        <v>13</v>
      </c>
      <c r="B6" s="14" t="s">
        <v>14</v>
      </c>
      <c r="C6" s="14"/>
      <c r="D6" s="36">
        <f>D7+D8</f>
        <v>627</v>
      </c>
      <c r="E6" s="88">
        <v>2509</v>
      </c>
      <c r="F6" s="84">
        <f>F7+F8</f>
        <v>205910.3</v>
      </c>
      <c r="G6" s="30" t="s">
        <v>17</v>
      </c>
      <c r="H6" s="30" t="s">
        <v>17</v>
      </c>
      <c r="I6" s="30" t="s">
        <v>17</v>
      </c>
      <c r="J6" s="30"/>
      <c r="K6" s="30"/>
      <c r="L6" s="30"/>
      <c r="M6" s="30"/>
      <c r="N6" s="30" t="s">
        <v>34</v>
      </c>
      <c r="O6" s="31"/>
      <c r="P6" s="15">
        <f>SUM(P7:P8)</f>
        <v>6018</v>
      </c>
      <c r="Q6" s="17"/>
      <c r="R6" s="16">
        <f>SUM(R7:R8)</f>
        <v>7080</v>
      </c>
      <c r="S6" s="59"/>
    </row>
    <row r="7" spans="1:19" x14ac:dyDescent="0.25">
      <c r="A7" s="32">
        <v>1</v>
      </c>
      <c r="B7" s="33" t="s">
        <v>19</v>
      </c>
      <c r="C7" s="33"/>
      <c r="D7" s="85">
        <v>314</v>
      </c>
      <c r="E7" s="85">
        <v>1255</v>
      </c>
      <c r="F7" s="85">
        <v>178169.9</v>
      </c>
      <c r="G7" s="29" t="s">
        <v>17</v>
      </c>
      <c r="H7" s="85">
        <v>5</v>
      </c>
      <c r="I7" s="85" t="s">
        <v>17</v>
      </c>
      <c r="J7" s="85" t="s">
        <v>17</v>
      </c>
      <c r="K7" s="85"/>
      <c r="L7" s="85"/>
      <c r="M7" s="85"/>
      <c r="N7" s="85">
        <v>7</v>
      </c>
      <c r="O7" s="34">
        <v>0.2</v>
      </c>
      <c r="P7" s="86">
        <f>D7*N7*1.2</f>
        <v>2637.6</v>
      </c>
      <c r="Q7" s="82">
        <v>0.85</v>
      </c>
      <c r="R7" s="18">
        <f>P7/Q7</f>
        <v>3103.0588235294117</v>
      </c>
      <c r="S7" s="51" t="s">
        <v>39</v>
      </c>
    </row>
    <row r="8" spans="1:19" ht="16.899999999999999" customHeight="1" x14ac:dyDescent="0.25">
      <c r="A8" s="32">
        <v>2</v>
      </c>
      <c r="B8" s="33" t="s">
        <v>32</v>
      </c>
      <c r="C8" s="33"/>
      <c r="D8" s="82">
        <v>313</v>
      </c>
      <c r="E8" s="85">
        <v>1254</v>
      </c>
      <c r="F8" s="82">
        <v>27740.400000000001</v>
      </c>
      <c r="G8" s="29" t="s">
        <v>17</v>
      </c>
      <c r="H8" s="82">
        <v>4</v>
      </c>
      <c r="I8" s="82" t="s">
        <v>17</v>
      </c>
      <c r="J8" s="82" t="s">
        <v>17</v>
      </c>
      <c r="K8" s="82"/>
      <c r="L8" s="82"/>
      <c r="M8" s="82"/>
      <c r="N8" s="85">
        <v>9</v>
      </c>
      <c r="O8" s="34">
        <v>0.2</v>
      </c>
      <c r="P8" s="86">
        <f>D8*N8*1.2</f>
        <v>3380.4</v>
      </c>
      <c r="Q8" s="82">
        <v>0.85</v>
      </c>
      <c r="R8" s="18">
        <f>P8/Q8</f>
        <v>3976.9411764705883</v>
      </c>
      <c r="S8" s="51" t="s">
        <v>39</v>
      </c>
    </row>
    <row r="9" spans="1:19" ht="16.5" x14ac:dyDescent="0.25">
      <c r="A9" s="52" t="s">
        <v>15</v>
      </c>
      <c r="B9" s="45" t="s">
        <v>42</v>
      </c>
      <c r="C9" s="45"/>
      <c r="D9" s="36" t="s">
        <v>17</v>
      </c>
      <c r="E9" s="88">
        <v>383</v>
      </c>
      <c r="F9" s="41">
        <f>SUM(F10:F24)</f>
        <v>84432.4</v>
      </c>
      <c r="G9" s="41">
        <f>SUM(G10:G24)</f>
        <v>24662.400000000001</v>
      </c>
      <c r="H9" s="41"/>
      <c r="I9" s="41">
        <f>SUM(I10:I24)</f>
        <v>139284.29999999996</v>
      </c>
      <c r="J9" s="41"/>
      <c r="K9" s="41"/>
      <c r="L9" s="41"/>
      <c r="M9" s="41"/>
      <c r="N9" s="46" t="s">
        <v>37</v>
      </c>
      <c r="O9" s="47"/>
      <c r="P9" s="43">
        <f>SUM(P10:P24)</f>
        <v>4036.1873999999993</v>
      </c>
      <c r="Q9" s="45"/>
      <c r="R9" s="43">
        <f>SUM(R10:R24)</f>
        <v>4748.4557647058818</v>
      </c>
      <c r="S9" s="60"/>
    </row>
    <row r="10" spans="1:19" x14ac:dyDescent="0.25">
      <c r="A10" s="8">
        <v>1</v>
      </c>
      <c r="B10" s="3" t="s">
        <v>25</v>
      </c>
      <c r="C10" s="3" t="s">
        <v>26</v>
      </c>
      <c r="D10" s="29" t="s">
        <v>17</v>
      </c>
      <c r="E10" s="29" t="s">
        <v>17</v>
      </c>
      <c r="F10" s="83">
        <v>17409.099999999999</v>
      </c>
      <c r="G10" s="83">
        <v>5420</v>
      </c>
      <c r="H10" s="9">
        <v>8</v>
      </c>
      <c r="I10" s="83">
        <f>G10*H10</f>
        <v>43360</v>
      </c>
      <c r="J10" s="85" t="s">
        <v>17</v>
      </c>
      <c r="K10" s="85"/>
      <c r="L10" s="85"/>
      <c r="M10" s="85"/>
      <c r="N10" s="82">
        <v>25</v>
      </c>
      <c r="O10" s="4">
        <v>0.2</v>
      </c>
      <c r="P10" s="81">
        <f>(I10*N10*1.2)/1000</f>
        <v>1300.8</v>
      </c>
      <c r="Q10" s="82">
        <v>0.85</v>
      </c>
      <c r="R10" s="81">
        <f>P10/Q10</f>
        <v>1530.3529411764705</v>
      </c>
      <c r="S10" s="51" t="s">
        <v>71</v>
      </c>
    </row>
    <row r="11" spans="1:19" x14ac:dyDescent="0.25">
      <c r="A11" s="8">
        <v>2</v>
      </c>
      <c r="B11" s="3" t="s">
        <v>25</v>
      </c>
      <c r="C11" s="3" t="s">
        <v>27</v>
      </c>
      <c r="D11" s="29" t="s">
        <v>17</v>
      </c>
      <c r="E11" s="29" t="s">
        <v>17</v>
      </c>
      <c r="F11" s="83">
        <v>25475.8</v>
      </c>
      <c r="G11" s="83">
        <v>8033.1</v>
      </c>
      <c r="H11" s="9">
        <v>8</v>
      </c>
      <c r="I11" s="83">
        <f>G11*H11</f>
        <v>64264.800000000003</v>
      </c>
      <c r="J11" s="82" t="s">
        <v>17</v>
      </c>
      <c r="K11" s="82"/>
      <c r="L11" s="82"/>
      <c r="M11" s="82"/>
      <c r="N11" s="82">
        <v>25</v>
      </c>
      <c r="O11" s="4">
        <v>0.2</v>
      </c>
      <c r="P11" s="81">
        <f>(I11*N11*1.2)/1000</f>
        <v>1927.944</v>
      </c>
      <c r="Q11" s="82">
        <v>0.85</v>
      </c>
      <c r="R11" s="81">
        <f t="shared" ref="R11:R24" si="0">P11/Q11</f>
        <v>2268.1694117647057</v>
      </c>
      <c r="S11" s="51" t="s">
        <v>71</v>
      </c>
    </row>
    <row r="12" spans="1:19" x14ac:dyDescent="0.25">
      <c r="A12" s="8">
        <v>3</v>
      </c>
      <c r="B12" s="3" t="s">
        <v>45</v>
      </c>
      <c r="C12" s="3" t="s">
        <v>52</v>
      </c>
      <c r="D12" s="29" t="s">
        <v>17</v>
      </c>
      <c r="E12" s="29" t="s">
        <v>17</v>
      </c>
      <c r="F12" s="83">
        <v>4688.8</v>
      </c>
      <c r="G12" s="82">
        <v>1687.8</v>
      </c>
      <c r="H12" s="82">
        <v>2</v>
      </c>
      <c r="I12" s="83">
        <f>G12*H12</f>
        <v>3375.6</v>
      </c>
      <c r="J12" s="85" t="s">
        <v>17</v>
      </c>
      <c r="K12" s="85"/>
      <c r="L12" s="85"/>
      <c r="M12" s="85"/>
      <c r="N12" s="82">
        <v>30</v>
      </c>
      <c r="O12" s="4">
        <v>0.2</v>
      </c>
      <c r="P12" s="81">
        <f t="shared" ref="P12:P23" si="1">(I12*N12*1.2)/1000</f>
        <v>121.52159999999999</v>
      </c>
      <c r="Q12" s="82">
        <v>0.85</v>
      </c>
      <c r="R12" s="81">
        <f t="shared" si="0"/>
        <v>142.96658823529413</v>
      </c>
      <c r="S12" s="51" t="s">
        <v>40</v>
      </c>
    </row>
    <row r="13" spans="1:19" x14ac:dyDescent="0.25">
      <c r="A13" s="8">
        <v>4</v>
      </c>
      <c r="B13" s="3" t="s">
        <v>46</v>
      </c>
      <c r="C13" s="3" t="s">
        <v>53</v>
      </c>
      <c r="D13" s="29" t="s">
        <v>17</v>
      </c>
      <c r="E13" s="29" t="s">
        <v>17</v>
      </c>
      <c r="F13" s="83">
        <v>486</v>
      </c>
      <c r="G13" s="82">
        <v>174.6</v>
      </c>
      <c r="H13" s="82">
        <v>2</v>
      </c>
      <c r="I13" s="83">
        <f t="shared" ref="I13:I23" si="2">G13*H13</f>
        <v>349.2</v>
      </c>
      <c r="J13" s="82" t="s">
        <v>17</v>
      </c>
      <c r="K13" s="82"/>
      <c r="L13" s="82"/>
      <c r="M13" s="82"/>
      <c r="N13" s="82">
        <v>30</v>
      </c>
      <c r="O13" s="4">
        <v>0.2</v>
      </c>
      <c r="P13" s="81">
        <f t="shared" si="1"/>
        <v>12.571199999999999</v>
      </c>
      <c r="Q13" s="82">
        <v>0.85</v>
      </c>
      <c r="R13" s="81">
        <f t="shared" si="0"/>
        <v>14.78964705882353</v>
      </c>
      <c r="S13" s="51" t="s">
        <v>40</v>
      </c>
    </row>
    <row r="14" spans="1:19" x14ac:dyDescent="0.25">
      <c r="A14" s="8">
        <v>5</v>
      </c>
      <c r="B14" s="3" t="s">
        <v>47</v>
      </c>
      <c r="C14" s="3" t="s">
        <v>54</v>
      </c>
      <c r="D14" s="29" t="s">
        <v>17</v>
      </c>
      <c r="E14" s="29" t="s">
        <v>17</v>
      </c>
      <c r="F14" s="82">
        <v>3676.6</v>
      </c>
      <c r="G14" s="82">
        <v>1323.6</v>
      </c>
      <c r="H14" s="82">
        <v>2</v>
      </c>
      <c r="I14" s="83">
        <f t="shared" si="2"/>
        <v>2647.2</v>
      </c>
      <c r="J14" s="85" t="s">
        <v>17</v>
      </c>
      <c r="K14" s="85"/>
      <c r="L14" s="85"/>
      <c r="M14" s="85"/>
      <c r="N14" s="82">
        <v>30</v>
      </c>
      <c r="O14" s="4">
        <v>0.2</v>
      </c>
      <c r="P14" s="81">
        <f t="shared" si="1"/>
        <v>95.299199999999999</v>
      </c>
      <c r="Q14" s="82">
        <v>0.85</v>
      </c>
      <c r="R14" s="81">
        <f t="shared" si="0"/>
        <v>112.11670588235295</v>
      </c>
      <c r="S14" s="51" t="s">
        <v>40</v>
      </c>
    </row>
    <row r="15" spans="1:19" x14ac:dyDescent="0.25">
      <c r="A15" s="8">
        <v>6</v>
      </c>
      <c r="B15" s="3" t="s">
        <v>41</v>
      </c>
      <c r="C15" s="3" t="s">
        <v>55</v>
      </c>
      <c r="D15" s="29" t="s">
        <v>17</v>
      </c>
      <c r="E15" s="29" t="s">
        <v>17</v>
      </c>
      <c r="F15" s="82">
        <v>3827</v>
      </c>
      <c r="G15" s="82">
        <v>1377.7</v>
      </c>
      <c r="H15" s="82">
        <v>2</v>
      </c>
      <c r="I15" s="83">
        <f t="shared" si="2"/>
        <v>2755.4</v>
      </c>
      <c r="J15" s="82" t="s">
        <v>17</v>
      </c>
      <c r="K15" s="82"/>
      <c r="L15" s="82"/>
      <c r="M15" s="82"/>
      <c r="N15" s="82">
        <v>30</v>
      </c>
      <c r="O15" s="4">
        <v>0.2</v>
      </c>
      <c r="P15" s="81">
        <f t="shared" si="1"/>
        <v>99.194399999999987</v>
      </c>
      <c r="Q15" s="82">
        <v>0.85</v>
      </c>
      <c r="R15" s="81">
        <f t="shared" si="0"/>
        <v>116.69929411764704</v>
      </c>
      <c r="S15" s="51" t="s">
        <v>40</v>
      </c>
    </row>
    <row r="16" spans="1:19" x14ac:dyDescent="0.25">
      <c r="A16" s="8">
        <v>7</v>
      </c>
      <c r="B16" s="3" t="s">
        <v>48</v>
      </c>
      <c r="C16" s="3" t="s">
        <v>56</v>
      </c>
      <c r="D16" s="29" t="s">
        <v>17</v>
      </c>
      <c r="E16" s="29" t="s">
        <v>17</v>
      </c>
      <c r="F16" s="82">
        <v>3223.6</v>
      </c>
      <c r="G16" s="82">
        <v>1160.5</v>
      </c>
      <c r="H16" s="82">
        <v>2</v>
      </c>
      <c r="I16" s="83">
        <f t="shared" si="2"/>
        <v>2321</v>
      </c>
      <c r="J16" s="85" t="s">
        <v>17</v>
      </c>
      <c r="K16" s="85"/>
      <c r="L16" s="85"/>
      <c r="M16" s="85"/>
      <c r="N16" s="82">
        <v>30</v>
      </c>
      <c r="O16" s="4">
        <v>0.2</v>
      </c>
      <c r="P16" s="81">
        <f t="shared" si="1"/>
        <v>83.555999999999997</v>
      </c>
      <c r="Q16" s="82">
        <v>0.85</v>
      </c>
      <c r="R16" s="81">
        <f t="shared" si="0"/>
        <v>98.301176470588231</v>
      </c>
      <c r="S16" s="51" t="s">
        <v>40</v>
      </c>
    </row>
    <row r="17" spans="1:25" x14ac:dyDescent="0.25">
      <c r="A17" s="8">
        <v>8</v>
      </c>
      <c r="B17" s="3" t="s">
        <v>49</v>
      </c>
      <c r="C17" s="3" t="s">
        <v>57</v>
      </c>
      <c r="D17" s="29" t="s">
        <v>17</v>
      </c>
      <c r="E17" s="29" t="s">
        <v>17</v>
      </c>
      <c r="F17" s="82">
        <v>1443</v>
      </c>
      <c r="G17" s="82">
        <v>519.20000000000005</v>
      </c>
      <c r="H17" s="82">
        <v>2</v>
      </c>
      <c r="I17" s="83">
        <f t="shared" si="2"/>
        <v>1038.4000000000001</v>
      </c>
      <c r="J17" s="82" t="s">
        <v>17</v>
      </c>
      <c r="K17" s="82"/>
      <c r="L17" s="82"/>
      <c r="M17" s="82"/>
      <c r="N17" s="82">
        <v>30</v>
      </c>
      <c r="O17" s="4">
        <v>0.2</v>
      </c>
      <c r="P17" s="81">
        <f t="shared" si="1"/>
        <v>37.382400000000004</v>
      </c>
      <c r="Q17" s="82">
        <v>0.85</v>
      </c>
      <c r="R17" s="81">
        <f t="shared" si="0"/>
        <v>43.979294117647065</v>
      </c>
      <c r="S17" s="51" t="s">
        <v>40</v>
      </c>
    </row>
    <row r="18" spans="1:25" x14ac:dyDescent="0.25">
      <c r="A18" s="8">
        <v>9</v>
      </c>
      <c r="B18" s="3" t="s">
        <v>43</v>
      </c>
      <c r="C18" s="3" t="s">
        <v>58</v>
      </c>
      <c r="D18" s="29" t="s">
        <v>17</v>
      </c>
      <c r="E18" s="29" t="s">
        <v>17</v>
      </c>
      <c r="F18" s="82">
        <v>1372.7</v>
      </c>
      <c r="G18" s="83">
        <v>494</v>
      </c>
      <c r="H18" s="82">
        <v>2</v>
      </c>
      <c r="I18" s="83">
        <f t="shared" si="2"/>
        <v>988</v>
      </c>
      <c r="J18" s="85" t="s">
        <v>17</v>
      </c>
      <c r="K18" s="85"/>
      <c r="L18" s="85"/>
      <c r="M18" s="85"/>
      <c r="N18" s="82">
        <v>30</v>
      </c>
      <c r="O18" s="4">
        <v>0.2</v>
      </c>
      <c r="P18" s="81">
        <f t="shared" si="1"/>
        <v>35.567999999999998</v>
      </c>
      <c r="Q18" s="82">
        <v>0.85</v>
      </c>
      <c r="R18" s="81">
        <f t="shared" si="0"/>
        <v>41.84470588235294</v>
      </c>
      <c r="S18" s="51" t="s">
        <v>40</v>
      </c>
    </row>
    <row r="19" spans="1:25" x14ac:dyDescent="0.25">
      <c r="A19" s="8">
        <v>10</v>
      </c>
      <c r="B19" s="3" t="s">
        <v>44</v>
      </c>
      <c r="C19" s="3" t="s">
        <v>59</v>
      </c>
      <c r="D19" s="29" t="s">
        <v>17</v>
      </c>
      <c r="E19" s="29" t="s">
        <v>17</v>
      </c>
      <c r="F19" s="82">
        <v>1372.7</v>
      </c>
      <c r="G19" s="83">
        <v>494</v>
      </c>
      <c r="H19" s="82">
        <v>2</v>
      </c>
      <c r="I19" s="83">
        <f t="shared" si="2"/>
        <v>988</v>
      </c>
      <c r="J19" s="82" t="s">
        <v>17</v>
      </c>
      <c r="K19" s="82"/>
      <c r="L19" s="82"/>
      <c r="M19" s="82"/>
      <c r="N19" s="82">
        <v>30</v>
      </c>
      <c r="O19" s="4">
        <v>0.2</v>
      </c>
      <c r="P19" s="81">
        <f t="shared" si="1"/>
        <v>35.567999999999998</v>
      </c>
      <c r="Q19" s="82">
        <v>0.85</v>
      </c>
      <c r="R19" s="81">
        <f t="shared" si="0"/>
        <v>41.84470588235294</v>
      </c>
      <c r="S19" s="51" t="s">
        <v>40</v>
      </c>
    </row>
    <row r="20" spans="1:25" x14ac:dyDescent="0.25">
      <c r="A20" s="8">
        <v>11</v>
      </c>
      <c r="B20" s="3" t="s">
        <v>50</v>
      </c>
      <c r="C20" s="3" t="s">
        <v>51</v>
      </c>
      <c r="D20" s="29" t="s">
        <v>17</v>
      </c>
      <c r="E20" s="29" t="s">
        <v>17</v>
      </c>
      <c r="F20" s="82">
        <v>15549.6</v>
      </c>
      <c r="G20" s="82">
        <v>3304.7</v>
      </c>
      <c r="H20" s="82">
        <v>5</v>
      </c>
      <c r="I20" s="83">
        <f t="shared" si="2"/>
        <v>16523.5</v>
      </c>
      <c r="J20" s="85" t="s">
        <v>17</v>
      </c>
      <c r="K20" s="85"/>
      <c r="L20" s="85"/>
      <c r="M20" s="85"/>
      <c r="N20" s="82">
        <v>13</v>
      </c>
      <c r="O20" s="4">
        <v>0.2</v>
      </c>
      <c r="P20" s="81">
        <f t="shared" si="1"/>
        <v>257.76659999999998</v>
      </c>
      <c r="Q20" s="82">
        <v>0.85</v>
      </c>
      <c r="R20" s="81">
        <f t="shared" si="0"/>
        <v>303.25482352941174</v>
      </c>
      <c r="S20" s="51" t="s">
        <v>70</v>
      </c>
      <c r="U20" s="90" t="s">
        <v>86</v>
      </c>
    </row>
    <row r="21" spans="1:25" x14ac:dyDescent="0.25">
      <c r="A21" s="8">
        <v>12</v>
      </c>
      <c r="B21" s="3" t="s">
        <v>67</v>
      </c>
      <c r="C21" s="3" t="s">
        <v>60</v>
      </c>
      <c r="D21" s="29" t="s">
        <v>17</v>
      </c>
      <c r="E21" s="29" t="s">
        <v>17</v>
      </c>
      <c r="F21" s="82">
        <v>370</v>
      </c>
      <c r="G21" s="82">
        <v>129.5</v>
      </c>
      <c r="H21" s="82">
        <v>1</v>
      </c>
      <c r="I21" s="83">
        <f t="shared" si="2"/>
        <v>129.5</v>
      </c>
      <c r="J21" s="82" t="s">
        <v>17</v>
      </c>
      <c r="K21" s="82"/>
      <c r="L21" s="82"/>
      <c r="M21" s="82"/>
      <c r="N21" s="82">
        <v>30</v>
      </c>
      <c r="O21" s="4">
        <v>0.2</v>
      </c>
      <c r="P21" s="81">
        <f t="shared" si="1"/>
        <v>4.6619999999999999</v>
      </c>
      <c r="Q21" s="82">
        <v>0.85</v>
      </c>
      <c r="R21" s="81">
        <f t="shared" si="0"/>
        <v>5.4847058823529409</v>
      </c>
      <c r="S21" s="51" t="s">
        <v>40</v>
      </c>
    </row>
    <row r="22" spans="1:25" x14ac:dyDescent="0.25">
      <c r="A22" s="8">
        <v>13</v>
      </c>
      <c r="B22" s="3" t="s">
        <v>68</v>
      </c>
      <c r="C22" s="3" t="s">
        <v>61</v>
      </c>
      <c r="D22" s="29" t="s">
        <v>17</v>
      </c>
      <c r="E22" s="29" t="s">
        <v>17</v>
      </c>
      <c r="F22" s="82">
        <v>1182.4000000000001</v>
      </c>
      <c r="G22" s="82">
        <v>413.8</v>
      </c>
      <c r="H22" s="82">
        <v>1</v>
      </c>
      <c r="I22" s="83">
        <f t="shared" si="2"/>
        <v>413.8</v>
      </c>
      <c r="J22" s="85" t="s">
        <v>17</v>
      </c>
      <c r="K22" s="85"/>
      <c r="L22" s="85"/>
      <c r="M22" s="85"/>
      <c r="N22" s="82">
        <v>30</v>
      </c>
      <c r="O22" s="4">
        <v>0.2</v>
      </c>
      <c r="P22" s="81">
        <f t="shared" si="1"/>
        <v>14.896799999999999</v>
      </c>
      <c r="Q22" s="82">
        <v>0.85</v>
      </c>
      <c r="R22" s="81">
        <f t="shared" si="0"/>
        <v>17.52564705882353</v>
      </c>
      <c r="S22" s="51" t="s">
        <v>40</v>
      </c>
      <c r="U22" s="89"/>
      <c r="V22" s="98" t="s">
        <v>87</v>
      </c>
      <c r="W22" s="98"/>
      <c r="X22" s="98"/>
      <c r="Y22" s="98"/>
    </row>
    <row r="23" spans="1:25" x14ac:dyDescent="0.25">
      <c r="A23" s="8">
        <v>14</v>
      </c>
      <c r="B23" s="3" t="s">
        <v>69</v>
      </c>
      <c r="C23" s="3" t="s">
        <v>62</v>
      </c>
      <c r="D23" s="29" t="s">
        <v>17</v>
      </c>
      <c r="E23" s="29" t="s">
        <v>17</v>
      </c>
      <c r="F23" s="82">
        <v>371.1</v>
      </c>
      <c r="G23" s="82">
        <v>129.9</v>
      </c>
      <c r="H23" s="82">
        <v>1</v>
      </c>
      <c r="I23" s="83">
        <f t="shared" si="2"/>
        <v>129.9</v>
      </c>
      <c r="J23" s="82" t="s">
        <v>17</v>
      </c>
      <c r="K23" s="82"/>
      <c r="L23" s="82"/>
      <c r="M23" s="82"/>
      <c r="N23" s="82">
        <v>30</v>
      </c>
      <c r="O23" s="4">
        <v>0.2</v>
      </c>
      <c r="P23" s="81">
        <f t="shared" si="1"/>
        <v>4.6763999999999992</v>
      </c>
      <c r="Q23" s="82">
        <v>0.85</v>
      </c>
      <c r="R23" s="81">
        <f t="shared" si="0"/>
        <v>5.5016470588235284</v>
      </c>
      <c r="S23" s="51" t="s">
        <v>40</v>
      </c>
      <c r="V23" s="98"/>
      <c r="W23" s="98"/>
      <c r="X23" s="98"/>
      <c r="Y23" s="98"/>
    </row>
    <row r="24" spans="1:25" x14ac:dyDescent="0.25">
      <c r="A24" s="8">
        <v>15</v>
      </c>
      <c r="B24" s="3" t="s">
        <v>65</v>
      </c>
      <c r="C24" s="3" t="s">
        <v>66</v>
      </c>
      <c r="D24" s="29" t="s">
        <v>17</v>
      </c>
      <c r="E24" s="29" t="s">
        <v>17</v>
      </c>
      <c r="F24" s="82">
        <v>3984</v>
      </c>
      <c r="G24" s="29" t="s">
        <v>17</v>
      </c>
      <c r="H24" s="29" t="s">
        <v>17</v>
      </c>
      <c r="I24" s="29" t="s">
        <v>17</v>
      </c>
      <c r="J24" s="85" t="s">
        <v>17</v>
      </c>
      <c r="K24" s="85"/>
      <c r="L24" s="85"/>
      <c r="M24" s="85"/>
      <c r="N24" s="82">
        <v>1</v>
      </c>
      <c r="O24" s="4">
        <v>0.2</v>
      </c>
      <c r="P24" s="81">
        <f>(F24*N24*1.2)/1000</f>
        <v>4.7808000000000002</v>
      </c>
      <c r="Q24" s="82">
        <v>0.85</v>
      </c>
      <c r="R24" s="81">
        <f t="shared" si="0"/>
        <v>5.6244705882352948</v>
      </c>
      <c r="S24" s="51" t="s">
        <v>40</v>
      </c>
      <c r="V24" s="98"/>
      <c r="W24" s="98"/>
      <c r="X24" s="98"/>
      <c r="Y24" s="98"/>
    </row>
    <row r="25" spans="1:25" ht="16.5" x14ac:dyDescent="0.25">
      <c r="A25" s="52" t="s">
        <v>16</v>
      </c>
      <c r="B25" s="40" t="s">
        <v>18</v>
      </c>
      <c r="C25" s="48"/>
      <c r="D25" s="49"/>
      <c r="E25" s="49"/>
      <c r="F25" s="35">
        <f>SUM(F26:F27)</f>
        <v>63639.8</v>
      </c>
      <c r="G25" s="35"/>
      <c r="H25" s="35"/>
      <c r="I25" s="35"/>
      <c r="J25" s="35"/>
      <c r="K25" s="35"/>
      <c r="L25" s="35"/>
      <c r="M25" s="35"/>
      <c r="N25" s="46" t="s">
        <v>74</v>
      </c>
      <c r="O25" s="37"/>
      <c r="P25" s="43">
        <f>SUM(P26:P27)</f>
        <v>38.183880000000002</v>
      </c>
      <c r="Q25" s="40"/>
      <c r="R25" s="44">
        <f>SUM(R26:R27)</f>
        <v>44.922211764705885</v>
      </c>
      <c r="S25" s="60"/>
    </row>
    <row r="26" spans="1:25" ht="17.45" customHeight="1" x14ac:dyDescent="0.25">
      <c r="A26" s="10">
        <v>1</v>
      </c>
      <c r="B26" s="12" t="s">
        <v>63</v>
      </c>
      <c r="C26" s="3"/>
      <c r="D26" s="5" t="s">
        <v>17</v>
      </c>
      <c r="E26" s="5" t="s">
        <v>17</v>
      </c>
      <c r="F26" s="83">
        <v>45541.9</v>
      </c>
      <c r="G26" s="5" t="s">
        <v>17</v>
      </c>
      <c r="H26" s="5" t="s">
        <v>17</v>
      </c>
      <c r="I26" s="5" t="s">
        <v>17</v>
      </c>
      <c r="J26" s="82" t="s">
        <v>17</v>
      </c>
      <c r="K26" s="82"/>
      <c r="L26" s="82"/>
      <c r="M26" s="82"/>
      <c r="N26" s="82">
        <v>0.5</v>
      </c>
      <c r="O26" s="4">
        <v>0.2</v>
      </c>
      <c r="P26" s="81">
        <f>(F26*N26*1.2)/1000</f>
        <v>27.325140000000001</v>
      </c>
      <c r="Q26" s="82">
        <v>0.85</v>
      </c>
      <c r="R26" s="81">
        <f>P26/Q26</f>
        <v>32.147223529411768</v>
      </c>
      <c r="S26" s="51" t="s">
        <v>40</v>
      </c>
    </row>
    <row r="27" spans="1:25" ht="17.45" customHeight="1" x14ac:dyDescent="0.25">
      <c r="A27" s="10">
        <v>2</v>
      </c>
      <c r="B27" s="12" t="s">
        <v>64</v>
      </c>
      <c r="C27" s="3"/>
      <c r="D27" s="5" t="s">
        <v>17</v>
      </c>
      <c r="E27" s="5" t="s">
        <v>17</v>
      </c>
      <c r="F27" s="83">
        <v>18097.900000000001</v>
      </c>
      <c r="G27" s="5" t="s">
        <v>17</v>
      </c>
      <c r="H27" s="5" t="s">
        <v>17</v>
      </c>
      <c r="I27" s="5" t="s">
        <v>17</v>
      </c>
      <c r="J27" s="85" t="s">
        <v>17</v>
      </c>
      <c r="K27" s="85"/>
      <c r="L27" s="85"/>
      <c r="M27" s="85"/>
      <c r="N27" s="82">
        <v>0.5</v>
      </c>
      <c r="O27" s="4">
        <v>0.2</v>
      </c>
      <c r="P27" s="81">
        <f>(F27*N27*1.2)/1000</f>
        <v>10.858739999999999</v>
      </c>
      <c r="Q27" s="82">
        <v>0.85</v>
      </c>
      <c r="R27" s="81">
        <f t="shared" ref="R27" si="3">P27/Q27</f>
        <v>12.774988235294117</v>
      </c>
      <c r="S27" s="51" t="s">
        <v>40</v>
      </c>
    </row>
    <row r="28" spans="1:25" ht="17.45" customHeight="1" x14ac:dyDescent="0.25">
      <c r="A28" s="53" t="s">
        <v>22</v>
      </c>
      <c r="B28" s="40" t="s">
        <v>23</v>
      </c>
      <c r="C28" s="40"/>
      <c r="D28" s="40"/>
      <c r="E28" s="40"/>
      <c r="F28" s="35">
        <f>SUM(F29:F30)</f>
        <v>190207.47</v>
      </c>
      <c r="G28" s="42"/>
      <c r="H28" s="42"/>
      <c r="I28" s="42"/>
      <c r="J28" s="42"/>
      <c r="K28" s="42"/>
      <c r="L28" s="42"/>
      <c r="M28" s="42"/>
      <c r="N28" s="46" t="s">
        <v>74</v>
      </c>
      <c r="O28" s="37"/>
      <c r="P28" s="43">
        <f>SUM(P29:P30)</f>
        <v>228.248964</v>
      </c>
      <c r="Q28" s="35"/>
      <c r="R28" s="43">
        <f>R29+R30</f>
        <v>268.52819294117648</v>
      </c>
      <c r="S28" s="60"/>
    </row>
    <row r="29" spans="1:25" x14ac:dyDescent="0.25">
      <c r="A29" s="20">
        <v>1</v>
      </c>
      <c r="B29" s="50" t="s">
        <v>72</v>
      </c>
      <c r="C29" s="50"/>
      <c r="D29" s="5" t="s">
        <v>17</v>
      </c>
      <c r="E29" s="5" t="s">
        <v>17</v>
      </c>
      <c r="F29" s="19">
        <v>122200.7</v>
      </c>
      <c r="G29" s="5" t="s">
        <v>17</v>
      </c>
      <c r="H29" s="5" t="s">
        <v>17</v>
      </c>
      <c r="I29" s="5" t="s">
        <v>17</v>
      </c>
      <c r="J29" s="82" t="s">
        <v>17</v>
      </c>
      <c r="K29" s="82"/>
      <c r="L29" s="82"/>
      <c r="M29" s="82"/>
      <c r="N29" s="19">
        <v>1</v>
      </c>
      <c r="O29" s="4">
        <v>0.2</v>
      </c>
      <c r="P29" s="81">
        <f>(F29*N29*1.2)/1000</f>
        <v>146.64084</v>
      </c>
      <c r="Q29" s="82">
        <v>0.85</v>
      </c>
      <c r="R29" s="81">
        <f>P29/Q29</f>
        <v>172.51863529411764</v>
      </c>
      <c r="S29" s="51" t="s">
        <v>40</v>
      </c>
    </row>
    <row r="30" spans="1:25" x14ac:dyDescent="0.25">
      <c r="A30" s="75">
        <v>2</v>
      </c>
      <c r="B30" s="61" t="s">
        <v>73</v>
      </c>
      <c r="C30" s="61"/>
      <c r="D30" s="62" t="s">
        <v>17</v>
      </c>
      <c r="E30" s="62" t="s">
        <v>17</v>
      </c>
      <c r="F30" s="63">
        <v>68006.77</v>
      </c>
      <c r="G30" s="62" t="s">
        <v>17</v>
      </c>
      <c r="H30" s="62" t="s">
        <v>17</v>
      </c>
      <c r="I30" s="62" t="s">
        <v>17</v>
      </c>
      <c r="J30" s="85" t="s">
        <v>17</v>
      </c>
      <c r="K30" s="92"/>
      <c r="L30" s="92"/>
      <c r="M30" s="92"/>
      <c r="N30" s="64">
        <v>1</v>
      </c>
      <c r="O30" s="65">
        <v>0.2</v>
      </c>
      <c r="P30" s="80">
        <f>(F30*N30*1.2)/1000</f>
        <v>81.608123999999989</v>
      </c>
      <c r="Q30" s="66">
        <v>0.85</v>
      </c>
      <c r="R30" s="80">
        <f t="shared" ref="R30" si="4">P30/Q30</f>
        <v>96.009557647058813</v>
      </c>
      <c r="S30" s="67" t="s">
        <v>40</v>
      </c>
    </row>
    <row r="31" spans="1:25" x14ac:dyDescent="0.25">
      <c r="A31" s="53" t="s">
        <v>76</v>
      </c>
      <c r="B31" s="40" t="s">
        <v>77</v>
      </c>
      <c r="C31" s="48"/>
      <c r="D31" s="72"/>
      <c r="E31" s="72"/>
      <c r="F31" s="73"/>
      <c r="G31" s="72"/>
      <c r="H31" s="72"/>
      <c r="I31" s="72"/>
      <c r="J31" s="72"/>
      <c r="K31" s="72"/>
      <c r="L31" s="72"/>
      <c r="M31" s="72"/>
      <c r="N31" s="46" t="s">
        <v>81</v>
      </c>
      <c r="O31" s="74"/>
      <c r="P31" s="43">
        <f>SUM(P32:P35)</f>
        <v>3972.1809599999997</v>
      </c>
      <c r="Q31" s="35"/>
      <c r="R31" s="43">
        <f>SUM(R32:R35)</f>
        <v>4673.1540705882362</v>
      </c>
      <c r="S31" s="60"/>
    </row>
    <row r="32" spans="1:25" x14ac:dyDescent="0.25">
      <c r="A32" s="20">
        <v>1</v>
      </c>
      <c r="B32" s="50" t="s">
        <v>88</v>
      </c>
      <c r="C32" s="21"/>
      <c r="D32" s="5" t="s">
        <v>17</v>
      </c>
      <c r="E32" s="5" t="s">
        <v>17</v>
      </c>
      <c r="F32" s="82" t="s">
        <v>17</v>
      </c>
      <c r="G32" s="5" t="s">
        <v>17</v>
      </c>
      <c r="H32" s="5" t="s">
        <v>17</v>
      </c>
      <c r="I32" s="82" t="s">
        <v>17</v>
      </c>
      <c r="J32" s="18">
        <v>246</v>
      </c>
      <c r="K32" s="34">
        <v>0.5</v>
      </c>
      <c r="L32" s="93">
        <f>J32*0.5</f>
        <v>123</v>
      </c>
      <c r="M32" s="91">
        <v>0.4</v>
      </c>
      <c r="N32" s="7">
        <v>11</v>
      </c>
      <c r="O32" s="4">
        <v>0.2</v>
      </c>
      <c r="P32" s="81">
        <f>L32*N32*M32*1.2</f>
        <v>649.44000000000005</v>
      </c>
      <c r="Q32" s="82">
        <v>0.85</v>
      </c>
      <c r="R32" s="81">
        <f>P32/Q32</f>
        <v>764.04705882352948</v>
      </c>
      <c r="S32" s="51" t="s">
        <v>104</v>
      </c>
    </row>
    <row r="33" spans="1:19" x14ac:dyDescent="0.25">
      <c r="A33" s="20">
        <v>2</v>
      </c>
      <c r="B33" s="50" t="s">
        <v>89</v>
      </c>
      <c r="C33" s="21"/>
      <c r="D33" s="62"/>
      <c r="E33" s="62"/>
      <c r="F33" s="82"/>
      <c r="G33" s="62"/>
      <c r="H33" s="62"/>
      <c r="I33" s="82"/>
      <c r="J33" s="18">
        <v>246</v>
      </c>
      <c r="K33" s="34">
        <v>0.5</v>
      </c>
      <c r="L33" s="93">
        <f>J33*0.5</f>
        <v>123</v>
      </c>
      <c r="M33" s="91">
        <v>0.41</v>
      </c>
      <c r="N33" s="7">
        <v>11</v>
      </c>
      <c r="O33" s="4">
        <v>0.2</v>
      </c>
      <c r="P33" s="81">
        <f t="shared" ref="P33:P38" si="5">L33*N33*M33*1.2</f>
        <v>665.67600000000004</v>
      </c>
      <c r="Q33" s="82">
        <v>0.85</v>
      </c>
      <c r="R33" s="81">
        <f>P33/Q33</f>
        <v>783.14823529411774</v>
      </c>
      <c r="S33" s="51" t="s">
        <v>105</v>
      </c>
    </row>
    <row r="34" spans="1:19" x14ac:dyDescent="0.25">
      <c r="A34" s="20">
        <v>2</v>
      </c>
      <c r="B34" s="50" t="s">
        <v>78</v>
      </c>
      <c r="C34" s="21"/>
      <c r="D34" s="62" t="s">
        <v>17</v>
      </c>
      <c r="E34" s="62" t="s">
        <v>17</v>
      </c>
      <c r="F34" s="85" t="s">
        <v>17</v>
      </c>
      <c r="G34" s="62" t="s">
        <v>17</v>
      </c>
      <c r="H34" s="62" t="s">
        <v>17</v>
      </c>
      <c r="I34" s="85" t="s">
        <v>17</v>
      </c>
      <c r="J34" s="18">
        <v>3786</v>
      </c>
      <c r="K34" s="34">
        <v>0.4</v>
      </c>
      <c r="L34" s="93">
        <f>J34*0.4</f>
        <v>1514.4</v>
      </c>
      <c r="M34" s="91">
        <v>0.36</v>
      </c>
      <c r="N34" s="7">
        <v>1.2</v>
      </c>
      <c r="O34" s="65">
        <v>0.2</v>
      </c>
      <c r="P34" s="81">
        <f t="shared" si="5"/>
        <v>785.06495999999993</v>
      </c>
      <c r="Q34" s="66">
        <v>0.85</v>
      </c>
      <c r="R34" s="81">
        <f t="shared" ref="R34:R35" si="6">P34/Q34</f>
        <v>923.60583529411758</v>
      </c>
      <c r="S34" s="51" t="s">
        <v>93</v>
      </c>
    </row>
    <row r="35" spans="1:19" x14ac:dyDescent="0.25">
      <c r="A35" s="20">
        <v>3</v>
      </c>
      <c r="B35" s="50" t="s">
        <v>83</v>
      </c>
      <c r="C35" s="21"/>
      <c r="D35" s="62" t="s">
        <v>17</v>
      </c>
      <c r="E35" s="62" t="s">
        <v>17</v>
      </c>
      <c r="F35" s="85" t="s">
        <v>17</v>
      </c>
      <c r="G35" s="62" t="s">
        <v>17</v>
      </c>
      <c r="H35" s="62" t="s">
        <v>17</v>
      </c>
      <c r="I35" s="85" t="s">
        <v>17</v>
      </c>
      <c r="J35" s="18">
        <v>20</v>
      </c>
      <c r="K35" s="34">
        <v>1</v>
      </c>
      <c r="L35" s="93">
        <f>J35*1</f>
        <v>20</v>
      </c>
      <c r="M35" s="91">
        <v>0.52</v>
      </c>
      <c r="N35" s="7">
        <v>150</v>
      </c>
      <c r="O35" s="65">
        <v>0.2</v>
      </c>
      <c r="P35" s="81">
        <f t="shared" si="5"/>
        <v>1872</v>
      </c>
      <c r="Q35" s="66">
        <v>0.85</v>
      </c>
      <c r="R35" s="81">
        <f t="shared" si="6"/>
        <v>2202.3529411764707</v>
      </c>
      <c r="S35" s="51" t="s">
        <v>94</v>
      </c>
    </row>
    <row r="36" spans="1:19" x14ac:dyDescent="0.25">
      <c r="A36" s="53" t="s">
        <v>1</v>
      </c>
      <c r="B36" s="40" t="s">
        <v>92</v>
      </c>
      <c r="C36" s="48"/>
      <c r="D36" s="72"/>
      <c r="E36" s="72"/>
      <c r="F36" s="73"/>
      <c r="G36" s="72"/>
      <c r="H36" s="72"/>
      <c r="I36" s="72"/>
      <c r="J36" s="72"/>
      <c r="K36" s="72"/>
      <c r="L36" s="72"/>
      <c r="M36" s="73"/>
      <c r="N36" s="46" t="s">
        <v>81</v>
      </c>
      <c r="O36" s="74"/>
      <c r="P36" s="43">
        <f>SUM(P37:P38)</f>
        <v>1785.96</v>
      </c>
      <c r="Q36" s="35"/>
      <c r="R36" s="43">
        <f>R37+R38</f>
        <v>2101.1294117647058</v>
      </c>
      <c r="S36" s="60"/>
    </row>
    <row r="37" spans="1:19" x14ac:dyDescent="0.25">
      <c r="A37" s="20">
        <v>1</v>
      </c>
      <c r="B37" s="50" t="s">
        <v>90</v>
      </c>
      <c r="C37" s="76"/>
      <c r="D37" s="5" t="s">
        <v>17</v>
      </c>
      <c r="E37" s="5" t="s">
        <v>17</v>
      </c>
      <c r="F37" s="82" t="s">
        <v>17</v>
      </c>
      <c r="G37" s="5" t="s">
        <v>17</v>
      </c>
      <c r="H37" s="5" t="s">
        <v>17</v>
      </c>
      <c r="I37" s="82" t="s">
        <v>17</v>
      </c>
      <c r="J37" s="94">
        <v>61</v>
      </c>
      <c r="K37" s="34">
        <v>1</v>
      </c>
      <c r="L37" s="93">
        <f t="shared" ref="L37:L38" si="7">J37*1</f>
        <v>61</v>
      </c>
      <c r="M37" s="91">
        <v>0.41</v>
      </c>
      <c r="N37" s="7">
        <v>30</v>
      </c>
      <c r="O37" s="4">
        <v>0.2</v>
      </c>
      <c r="P37" s="81">
        <f t="shared" si="5"/>
        <v>900.3599999999999</v>
      </c>
      <c r="Q37" s="82">
        <v>0.85</v>
      </c>
      <c r="R37" s="81">
        <f>P37/Q37</f>
        <v>1059.2470588235294</v>
      </c>
      <c r="S37" s="51" t="s">
        <v>104</v>
      </c>
    </row>
    <row r="38" spans="1:19" x14ac:dyDescent="0.25">
      <c r="A38" s="20">
        <v>2</v>
      </c>
      <c r="B38" s="50" t="s">
        <v>91</v>
      </c>
      <c r="C38" s="76"/>
      <c r="D38" s="5" t="s">
        <v>17</v>
      </c>
      <c r="E38" s="5" t="s">
        <v>17</v>
      </c>
      <c r="F38" s="82" t="s">
        <v>17</v>
      </c>
      <c r="G38" s="5" t="s">
        <v>17</v>
      </c>
      <c r="H38" s="5" t="s">
        <v>17</v>
      </c>
      <c r="I38" s="82" t="s">
        <v>17</v>
      </c>
      <c r="J38" s="94">
        <v>60</v>
      </c>
      <c r="K38" s="34">
        <v>1</v>
      </c>
      <c r="L38" s="93">
        <f t="shared" si="7"/>
        <v>60</v>
      </c>
      <c r="M38" s="91">
        <v>0.41</v>
      </c>
      <c r="N38" s="7">
        <v>30</v>
      </c>
      <c r="O38" s="65">
        <v>0.2</v>
      </c>
      <c r="P38" s="81">
        <f t="shared" si="5"/>
        <v>885.6</v>
      </c>
      <c r="Q38" s="66">
        <v>0.85</v>
      </c>
      <c r="R38" s="80">
        <f t="shared" ref="R38" si="8">P38/Q38</f>
        <v>1041.8823529411766</v>
      </c>
      <c r="S38" s="51" t="s">
        <v>105</v>
      </c>
    </row>
    <row r="39" spans="1:19" ht="28.15" customHeight="1" thickBot="1" x14ac:dyDescent="0.3">
      <c r="A39" s="96" t="s">
        <v>20</v>
      </c>
      <c r="B39" s="97"/>
      <c r="C39" s="97"/>
      <c r="D39" s="68"/>
      <c r="E39" s="68"/>
      <c r="F39" s="68">
        <f>F6+F9+F25+F28</f>
        <v>544189.97</v>
      </c>
      <c r="G39" s="79"/>
      <c r="H39" s="79"/>
      <c r="I39" s="79"/>
      <c r="J39" s="79"/>
      <c r="K39" s="79"/>
      <c r="L39" s="79"/>
      <c r="M39" s="87"/>
      <c r="N39" s="79"/>
      <c r="O39" s="79"/>
      <c r="P39" s="70">
        <f>SUM(P25,P9,P6,P28,P31,P36)</f>
        <v>16078.761203999999</v>
      </c>
      <c r="Q39" s="70"/>
      <c r="R39" s="70">
        <f>SUM(R25,R9,R6,R28,R31,R36)</f>
        <v>18916.189651764704</v>
      </c>
      <c r="S39" s="71"/>
    </row>
    <row r="40" spans="1:19" x14ac:dyDescent="0.25">
      <c r="A40" s="2"/>
    </row>
    <row r="41" spans="1:19" x14ac:dyDescent="0.25">
      <c r="A41" s="2"/>
      <c r="R41" s="77">
        <f>R39*0.001</f>
        <v>18.916189651764704</v>
      </c>
      <c r="S41" s="1" t="s">
        <v>82</v>
      </c>
    </row>
    <row r="42" spans="1:19" x14ac:dyDescent="0.25">
      <c r="A42" s="2"/>
    </row>
    <row r="43" spans="1:19" x14ac:dyDescent="0.25">
      <c r="A43" s="2"/>
    </row>
    <row r="44" spans="1:19" x14ac:dyDescent="0.25">
      <c r="A44" s="2"/>
    </row>
    <row r="45" spans="1:19" x14ac:dyDescent="0.25">
      <c r="A45" s="2"/>
    </row>
    <row r="46" spans="1:19" x14ac:dyDescent="0.25">
      <c r="A46" s="2"/>
    </row>
    <row r="47" spans="1:19" x14ac:dyDescent="0.25">
      <c r="A47" s="2"/>
      <c r="B47" s="2"/>
      <c r="C47" s="2"/>
    </row>
    <row r="48" spans="1:19" x14ac:dyDescent="0.25">
      <c r="A48" s="2"/>
      <c r="B48" s="2"/>
      <c r="C48" s="2"/>
    </row>
    <row r="49" spans="1:20" x14ac:dyDescent="0.25">
      <c r="A49" s="2"/>
      <c r="B49" s="2"/>
      <c r="C49" s="2"/>
      <c r="D49" s="2"/>
      <c r="E49" s="2"/>
    </row>
    <row r="64" spans="1:20" x14ac:dyDescent="0.25">
      <c r="T64" s="2"/>
    </row>
    <row r="65" ht="14.25" customHeight="1" x14ac:dyDescent="0.25"/>
    <row r="66" ht="14.25" customHeight="1" x14ac:dyDescent="0.25"/>
    <row r="77" ht="17.25" customHeight="1" x14ac:dyDescent="0.25"/>
  </sheetData>
  <mergeCells count="16">
    <mergeCell ref="A2:S2"/>
    <mergeCell ref="A3:A4"/>
    <mergeCell ref="B3:B4"/>
    <mergeCell ref="C3:C4"/>
    <mergeCell ref="N3:N4"/>
    <mergeCell ref="O3:O4"/>
    <mergeCell ref="P3:P4"/>
    <mergeCell ref="Q3:Q4"/>
    <mergeCell ref="R3:R4"/>
    <mergeCell ref="M3:M4"/>
    <mergeCell ref="S3:S4"/>
    <mergeCell ref="V22:Y24"/>
    <mergeCell ref="A39:C39"/>
    <mergeCell ref="D3:J3"/>
    <mergeCell ref="K3:K4"/>
    <mergeCell ref="L3:L4"/>
  </mergeCells>
  <pageMargins left="0.7" right="0.7" top="0.75" bottom="0.75" header="0.3" footer="0.3"/>
  <pageSetup scale="55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77"/>
  <sheetViews>
    <sheetView tabSelected="1" zoomScale="85" zoomScaleNormal="85" zoomScaleSheetLayoutView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85546875" defaultRowHeight="15.75" x14ac:dyDescent="0.25"/>
  <cols>
    <col min="1" max="1" width="5.140625" style="1" bestFit="1" customWidth="1"/>
    <col min="2" max="2" width="45" style="1" customWidth="1"/>
    <col min="3" max="3" width="13.140625" style="1" customWidth="1"/>
    <col min="4" max="5" width="10.140625" style="1" customWidth="1"/>
    <col min="6" max="13" width="11.42578125" style="1" customWidth="1"/>
    <col min="14" max="14" width="13.5703125" style="1" customWidth="1"/>
    <col min="15" max="15" width="10.28515625" style="1" customWidth="1"/>
    <col min="16" max="16" width="12" style="1" customWidth="1"/>
    <col min="17" max="17" width="7.28515625" style="1" customWidth="1"/>
    <col min="18" max="18" width="12.42578125" style="1" customWidth="1"/>
    <col min="19" max="19" width="34.28515625" style="1" customWidth="1"/>
    <col min="20" max="20" width="15.7109375" style="1" customWidth="1"/>
    <col min="21" max="16384" width="8.85546875" style="1"/>
  </cols>
  <sheetData>
    <row r="1" spans="1:19" ht="16.5" thickBot="1" x14ac:dyDescent="0.3"/>
    <row r="2" spans="1:19" ht="39" customHeight="1" x14ac:dyDescent="0.25">
      <c r="A2" s="104" t="s">
        <v>95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6"/>
    </row>
    <row r="3" spans="1:19" ht="22.9" customHeight="1" x14ac:dyDescent="0.25">
      <c r="A3" s="107" t="s">
        <v>0</v>
      </c>
      <c r="B3" s="108" t="s">
        <v>2</v>
      </c>
      <c r="C3" s="108" t="s">
        <v>21</v>
      </c>
      <c r="D3" s="99" t="s">
        <v>3</v>
      </c>
      <c r="E3" s="100"/>
      <c r="F3" s="100"/>
      <c r="G3" s="100"/>
      <c r="H3" s="100"/>
      <c r="I3" s="100"/>
      <c r="J3" s="101"/>
      <c r="K3" s="102" t="s">
        <v>97</v>
      </c>
      <c r="L3" s="102" t="s">
        <v>99</v>
      </c>
      <c r="M3" s="102" t="s">
        <v>100</v>
      </c>
      <c r="N3" s="108" t="s">
        <v>5</v>
      </c>
      <c r="O3" s="108" t="s">
        <v>6</v>
      </c>
      <c r="P3" s="108" t="s">
        <v>7</v>
      </c>
      <c r="Q3" s="108" t="s">
        <v>24</v>
      </c>
      <c r="R3" s="108" t="s">
        <v>9</v>
      </c>
      <c r="S3" s="109" t="s">
        <v>38</v>
      </c>
    </row>
    <row r="4" spans="1:19" ht="55.9" customHeight="1" x14ac:dyDescent="0.25">
      <c r="A4" s="107"/>
      <c r="B4" s="108"/>
      <c r="C4" s="108"/>
      <c r="D4" s="38" t="s">
        <v>4</v>
      </c>
      <c r="E4" s="38" t="s">
        <v>33</v>
      </c>
      <c r="F4" s="39" t="s">
        <v>28</v>
      </c>
      <c r="G4" s="39" t="s">
        <v>29</v>
      </c>
      <c r="H4" s="39" t="s">
        <v>31</v>
      </c>
      <c r="I4" s="39" t="s">
        <v>30</v>
      </c>
      <c r="J4" s="39" t="s">
        <v>79</v>
      </c>
      <c r="K4" s="103"/>
      <c r="L4" s="103"/>
      <c r="M4" s="103"/>
      <c r="N4" s="108"/>
      <c r="O4" s="108"/>
      <c r="P4" s="108"/>
      <c r="Q4" s="108"/>
      <c r="R4" s="108"/>
      <c r="S4" s="109"/>
    </row>
    <row r="5" spans="1:19" ht="16.5" thickBot="1" x14ac:dyDescent="0.3">
      <c r="A5" s="54"/>
      <c r="B5" s="55"/>
      <c r="C5" s="55"/>
      <c r="D5" s="55"/>
      <c r="E5" s="55"/>
      <c r="F5" s="11" t="s">
        <v>10</v>
      </c>
      <c r="G5" s="11" t="s">
        <v>75</v>
      </c>
      <c r="H5" s="11"/>
      <c r="I5" s="11" t="s">
        <v>75</v>
      </c>
      <c r="J5" s="11" t="s">
        <v>80</v>
      </c>
      <c r="K5" s="11" t="s">
        <v>98</v>
      </c>
      <c r="L5" s="11" t="s">
        <v>80</v>
      </c>
      <c r="M5" s="11" t="s">
        <v>101</v>
      </c>
      <c r="N5" s="55"/>
      <c r="O5" s="55"/>
      <c r="P5" s="11" t="s">
        <v>11</v>
      </c>
      <c r="Q5" s="56" t="s">
        <v>8</v>
      </c>
      <c r="R5" s="57" t="s">
        <v>12</v>
      </c>
      <c r="S5" s="58"/>
    </row>
    <row r="6" spans="1:19" x14ac:dyDescent="0.25">
      <c r="A6" s="13" t="s">
        <v>13</v>
      </c>
      <c r="B6" s="14" t="s">
        <v>14</v>
      </c>
      <c r="C6" s="14"/>
      <c r="D6" s="36">
        <f>D7+D8</f>
        <v>1435</v>
      </c>
      <c r="E6" s="36">
        <f>E7+E8</f>
        <v>5740</v>
      </c>
      <c r="F6" s="26">
        <f>F7+F8</f>
        <v>205910.3</v>
      </c>
      <c r="G6" s="30" t="s">
        <v>17</v>
      </c>
      <c r="H6" s="30" t="s">
        <v>17</v>
      </c>
      <c r="I6" s="30" t="s">
        <v>17</v>
      </c>
      <c r="J6" s="30"/>
      <c r="K6" s="30"/>
      <c r="L6" s="30"/>
      <c r="M6" s="30"/>
      <c r="N6" s="30" t="s">
        <v>34</v>
      </c>
      <c r="O6" s="31"/>
      <c r="P6" s="15">
        <f>SUM(P7:P8)</f>
        <v>12366</v>
      </c>
      <c r="Q6" s="17"/>
      <c r="R6" s="16">
        <f>SUM(R7:R8)</f>
        <v>14548.235294117647</v>
      </c>
      <c r="S6" s="59"/>
    </row>
    <row r="7" spans="1:19" x14ac:dyDescent="0.25">
      <c r="A7" s="32">
        <v>1</v>
      </c>
      <c r="B7" s="33" t="s">
        <v>19</v>
      </c>
      <c r="C7" s="33"/>
      <c r="D7" s="27">
        <v>1305</v>
      </c>
      <c r="E7" s="27">
        <f>D7*4</f>
        <v>5220</v>
      </c>
      <c r="F7" s="27">
        <v>178169.9</v>
      </c>
      <c r="G7" s="29" t="s">
        <v>17</v>
      </c>
      <c r="H7" s="27">
        <v>5</v>
      </c>
      <c r="I7" s="27" t="s">
        <v>17</v>
      </c>
      <c r="J7" s="27" t="s">
        <v>17</v>
      </c>
      <c r="K7" s="85"/>
      <c r="L7" s="85"/>
      <c r="M7" s="85"/>
      <c r="N7" s="27">
        <v>7</v>
      </c>
      <c r="O7" s="34">
        <v>0.2</v>
      </c>
      <c r="P7" s="28">
        <f>D7*N7*1.2</f>
        <v>10962</v>
      </c>
      <c r="Q7" s="24">
        <v>0.85</v>
      </c>
      <c r="R7" s="18">
        <f>P7/Q7</f>
        <v>12896.470588235294</v>
      </c>
      <c r="S7" s="51" t="s">
        <v>39</v>
      </c>
    </row>
    <row r="8" spans="1:19" ht="16.899999999999999" customHeight="1" x14ac:dyDescent="0.25">
      <c r="A8" s="32">
        <v>2</v>
      </c>
      <c r="B8" s="33" t="s">
        <v>32</v>
      </c>
      <c r="C8" s="33"/>
      <c r="D8" s="24">
        <v>130</v>
      </c>
      <c r="E8" s="27">
        <f>D8*4</f>
        <v>520</v>
      </c>
      <c r="F8" s="24">
        <v>27740.400000000001</v>
      </c>
      <c r="G8" s="29" t="s">
        <v>17</v>
      </c>
      <c r="H8" s="24">
        <v>4</v>
      </c>
      <c r="I8" s="24" t="s">
        <v>17</v>
      </c>
      <c r="J8" s="24" t="s">
        <v>17</v>
      </c>
      <c r="K8" s="82"/>
      <c r="L8" s="82"/>
      <c r="M8" s="82"/>
      <c r="N8" s="27">
        <v>9</v>
      </c>
      <c r="O8" s="34">
        <v>0.2</v>
      </c>
      <c r="P8" s="28">
        <f>D8*N8*1.2</f>
        <v>1404</v>
      </c>
      <c r="Q8" s="24">
        <v>0.85</v>
      </c>
      <c r="R8" s="18">
        <f>P8/Q8</f>
        <v>1651.7647058823529</v>
      </c>
      <c r="S8" s="51" t="s">
        <v>39</v>
      </c>
    </row>
    <row r="9" spans="1:19" ht="16.5" x14ac:dyDescent="0.25">
      <c r="A9" s="52" t="s">
        <v>15</v>
      </c>
      <c r="B9" s="45" t="s">
        <v>42</v>
      </c>
      <c r="C9" s="45"/>
      <c r="D9" s="36">
        <f>D10+D11</f>
        <v>377</v>
      </c>
      <c r="E9" s="36">
        <f>E10+E11</f>
        <v>754</v>
      </c>
      <c r="F9" s="41">
        <f>SUM(F10:F24)</f>
        <v>84432.4</v>
      </c>
      <c r="G9" s="41">
        <f>SUM(G10:G24)</f>
        <v>24662.400000000001</v>
      </c>
      <c r="H9" s="41"/>
      <c r="I9" s="41">
        <f>SUM(I10:I24)</f>
        <v>139284.29999999996</v>
      </c>
      <c r="J9" s="41"/>
      <c r="K9" s="41"/>
      <c r="L9" s="41"/>
      <c r="M9" s="41"/>
      <c r="N9" s="46" t="s">
        <v>37</v>
      </c>
      <c r="O9" s="47"/>
      <c r="P9" s="43">
        <f>SUM(P10:P24)</f>
        <v>4036.1873999999993</v>
      </c>
      <c r="Q9" s="45"/>
      <c r="R9" s="43">
        <f>SUM(R10:R24)</f>
        <v>4748.4557647058818</v>
      </c>
      <c r="S9" s="60"/>
    </row>
    <row r="10" spans="1:19" x14ac:dyDescent="0.25">
      <c r="A10" s="8">
        <v>1</v>
      </c>
      <c r="B10" s="3" t="s">
        <v>25</v>
      </c>
      <c r="C10" s="3" t="s">
        <v>26</v>
      </c>
      <c r="D10" s="5" t="s">
        <v>35</v>
      </c>
      <c r="E10" s="6">
        <f>D10*2</f>
        <v>304</v>
      </c>
      <c r="F10" s="25">
        <v>17409.099999999999</v>
      </c>
      <c r="G10" s="25">
        <v>5420</v>
      </c>
      <c r="H10" s="9">
        <v>8</v>
      </c>
      <c r="I10" s="25">
        <f>G10*H10</f>
        <v>43360</v>
      </c>
      <c r="J10" s="27" t="s">
        <v>17</v>
      </c>
      <c r="K10" s="85"/>
      <c r="L10" s="85"/>
      <c r="M10" s="85"/>
      <c r="N10" s="24">
        <v>25</v>
      </c>
      <c r="O10" s="4">
        <v>0.2</v>
      </c>
      <c r="P10" s="23">
        <f>(I10*N10*1.2)/1000</f>
        <v>1300.8</v>
      </c>
      <c r="Q10" s="24">
        <v>0.85</v>
      </c>
      <c r="R10" s="23">
        <f>P10/Q10</f>
        <v>1530.3529411764705</v>
      </c>
      <c r="S10" s="51" t="s">
        <v>71</v>
      </c>
    </row>
    <row r="11" spans="1:19" x14ac:dyDescent="0.25">
      <c r="A11" s="8">
        <v>2</v>
      </c>
      <c r="B11" s="3" t="s">
        <v>25</v>
      </c>
      <c r="C11" s="3" t="s">
        <v>27</v>
      </c>
      <c r="D11" s="5" t="s">
        <v>36</v>
      </c>
      <c r="E11" s="6">
        <f>D11*2</f>
        <v>450</v>
      </c>
      <c r="F11" s="25">
        <v>25475.8</v>
      </c>
      <c r="G11" s="25">
        <v>8033.1</v>
      </c>
      <c r="H11" s="9">
        <v>8</v>
      </c>
      <c r="I11" s="25">
        <f>G11*H11</f>
        <v>64264.800000000003</v>
      </c>
      <c r="J11" s="24" t="s">
        <v>17</v>
      </c>
      <c r="K11" s="82"/>
      <c r="L11" s="82"/>
      <c r="M11" s="82"/>
      <c r="N11" s="24">
        <v>25</v>
      </c>
      <c r="O11" s="4">
        <v>0.2</v>
      </c>
      <c r="P11" s="23">
        <f>(I11*N11*1.2)/1000</f>
        <v>1927.944</v>
      </c>
      <c r="Q11" s="24">
        <v>0.85</v>
      </c>
      <c r="R11" s="23">
        <f t="shared" ref="R11:R24" si="0">P11/Q11</f>
        <v>2268.1694117647057</v>
      </c>
      <c r="S11" s="51" t="s">
        <v>71</v>
      </c>
    </row>
    <row r="12" spans="1:19" x14ac:dyDescent="0.25">
      <c r="A12" s="8">
        <v>3</v>
      </c>
      <c r="B12" s="3" t="s">
        <v>45</v>
      </c>
      <c r="C12" s="3" t="s">
        <v>52</v>
      </c>
      <c r="D12" s="29" t="s">
        <v>17</v>
      </c>
      <c r="E12" s="29" t="s">
        <v>17</v>
      </c>
      <c r="F12" s="25">
        <v>4688.8</v>
      </c>
      <c r="G12" s="24">
        <v>1687.8</v>
      </c>
      <c r="H12" s="24">
        <v>2</v>
      </c>
      <c r="I12" s="25">
        <f>G12*H12</f>
        <v>3375.6</v>
      </c>
      <c r="J12" s="27" t="s">
        <v>17</v>
      </c>
      <c r="K12" s="85"/>
      <c r="L12" s="85"/>
      <c r="M12" s="85"/>
      <c r="N12" s="24">
        <v>30</v>
      </c>
      <c r="O12" s="4">
        <v>0.2</v>
      </c>
      <c r="P12" s="23">
        <f t="shared" ref="P12:P23" si="1">(I12*N12*1.2)/1000</f>
        <v>121.52159999999999</v>
      </c>
      <c r="Q12" s="24">
        <v>0.85</v>
      </c>
      <c r="R12" s="23">
        <f t="shared" si="0"/>
        <v>142.96658823529413</v>
      </c>
      <c r="S12" s="51" t="s">
        <v>40</v>
      </c>
    </row>
    <row r="13" spans="1:19" x14ac:dyDescent="0.25">
      <c r="A13" s="8">
        <v>4</v>
      </c>
      <c r="B13" s="3" t="s">
        <v>46</v>
      </c>
      <c r="C13" s="3" t="s">
        <v>53</v>
      </c>
      <c r="D13" s="29" t="s">
        <v>17</v>
      </c>
      <c r="E13" s="29" t="s">
        <v>17</v>
      </c>
      <c r="F13" s="25">
        <v>486</v>
      </c>
      <c r="G13" s="24">
        <v>174.6</v>
      </c>
      <c r="H13" s="24">
        <v>2</v>
      </c>
      <c r="I13" s="25">
        <f t="shared" ref="I13:I23" si="2">G13*H13</f>
        <v>349.2</v>
      </c>
      <c r="J13" s="24" t="s">
        <v>17</v>
      </c>
      <c r="K13" s="82"/>
      <c r="L13" s="82"/>
      <c r="M13" s="82"/>
      <c r="N13" s="24">
        <v>30</v>
      </c>
      <c r="O13" s="4">
        <v>0.2</v>
      </c>
      <c r="P13" s="23">
        <f t="shared" si="1"/>
        <v>12.571199999999999</v>
      </c>
      <c r="Q13" s="24">
        <v>0.85</v>
      </c>
      <c r="R13" s="23">
        <f t="shared" si="0"/>
        <v>14.78964705882353</v>
      </c>
      <c r="S13" s="51" t="s">
        <v>40</v>
      </c>
    </row>
    <row r="14" spans="1:19" x14ac:dyDescent="0.25">
      <c r="A14" s="8">
        <v>5</v>
      </c>
      <c r="B14" s="3" t="s">
        <v>47</v>
      </c>
      <c r="C14" s="3" t="s">
        <v>54</v>
      </c>
      <c r="D14" s="29" t="s">
        <v>17</v>
      </c>
      <c r="E14" s="29" t="s">
        <v>17</v>
      </c>
      <c r="F14" s="24">
        <v>3676.6</v>
      </c>
      <c r="G14" s="24">
        <v>1323.6</v>
      </c>
      <c r="H14" s="24">
        <v>2</v>
      </c>
      <c r="I14" s="25">
        <f t="shared" si="2"/>
        <v>2647.2</v>
      </c>
      <c r="J14" s="27" t="s">
        <v>17</v>
      </c>
      <c r="K14" s="85"/>
      <c r="L14" s="85"/>
      <c r="M14" s="85"/>
      <c r="N14" s="24">
        <v>30</v>
      </c>
      <c r="O14" s="4">
        <v>0.2</v>
      </c>
      <c r="P14" s="23">
        <f t="shared" si="1"/>
        <v>95.299199999999999</v>
      </c>
      <c r="Q14" s="24">
        <v>0.85</v>
      </c>
      <c r="R14" s="23">
        <f t="shared" si="0"/>
        <v>112.11670588235295</v>
      </c>
      <c r="S14" s="51" t="s">
        <v>40</v>
      </c>
    </row>
    <row r="15" spans="1:19" x14ac:dyDescent="0.25">
      <c r="A15" s="8">
        <v>6</v>
      </c>
      <c r="B15" s="3" t="s">
        <v>41</v>
      </c>
      <c r="C15" s="3" t="s">
        <v>55</v>
      </c>
      <c r="D15" s="29" t="s">
        <v>17</v>
      </c>
      <c r="E15" s="29" t="s">
        <v>17</v>
      </c>
      <c r="F15" s="24">
        <v>3827</v>
      </c>
      <c r="G15" s="24">
        <v>1377.7</v>
      </c>
      <c r="H15" s="24">
        <v>2</v>
      </c>
      <c r="I15" s="25">
        <f t="shared" si="2"/>
        <v>2755.4</v>
      </c>
      <c r="J15" s="24" t="s">
        <v>17</v>
      </c>
      <c r="K15" s="82"/>
      <c r="L15" s="82"/>
      <c r="M15" s="82"/>
      <c r="N15" s="24">
        <v>30</v>
      </c>
      <c r="O15" s="4">
        <v>0.2</v>
      </c>
      <c r="P15" s="23">
        <f t="shared" si="1"/>
        <v>99.194399999999987</v>
      </c>
      <c r="Q15" s="24">
        <v>0.85</v>
      </c>
      <c r="R15" s="23">
        <f t="shared" si="0"/>
        <v>116.69929411764704</v>
      </c>
      <c r="S15" s="51" t="s">
        <v>40</v>
      </c>
    </row>
    <row r="16" spans="1:19" x14ac:dyDescent="0.25">
      <c r="A16" s="8">
        <v>7</v>
      </c>
      <c r="B16" s="3" t="s">
        <v>48</v>
      </c>
      <c r="C16" s="3" t="s">
        <v>56</v>
      </c>
      <c r="D16" s="29" t="s">
        <v>17</v>
      </c>
      <c r="E16" s="29" t="s">
        <v>17</v>
      </c>
      <c r="F16" s="24">
        <v>3223.6</v>
      </c>
      <c r="G16" s="24">
        <v>1160.5</v>
      </c>
      <c r="H16" s="24">
        <v>2</v>
      </c>
      <c r="I16" s="25">
        <f t="shared" si="2"/>
        <v>2321</v>
      </c>
      <c r="J16" s="27" t="s">
        <v>17</v>
      </c>
      <c r="K16" s="85"/>
      <c r="L16" s="85"/>
      <c r="M16" s="85"/>
      <c r="N16" s="24">
        <v>30</v>
      </c>
      <c r="O16" s="4">
        <v>0.2</v>
      </c>
      <c r="P16" s="23">
        <f t="shared" si="1"/>
        <v>83.555999999999997</v>
      </c>
      <c r="Q16" s="24">
        <v>0.85</v>
      </c>
      <c r="R16" s="23">
        <f t="shared" si="0"/>
        <v>98.301176470588231</v>
      </c>
      <c r="S16" s="51" t="s">
        <v>40</v>
      </c>
    </row>
    <row r="17" spans="1:25" x14ac:dyDescent="0.25">
      <c r="A17" s="8">
        <v>8</v>
      </c>
      <c r="B17" s="3" t="s">
        <v>49</v>
      </c>
      <c r="C17" s="3" t="s">
        <v>57</v>
      </c>
      <c r="D17" s="29" t="s">
        <v>17</v>
      </c>
      <c r="E17" s="29" t="s">
        <v>17</v>
      </c>
      <c r="F17" s="24">
        <v>1443</v>
      </c>
      <c r="G17" s="24">
        <v>519.20000000000005</v>
      </c>
      <c r="H17" s="24">
        <v>2</v>
      </c>
      <c r="I17" s="25">
        <f t="shared" si="2"/>
        <v>1038.4000000000001</v>
      </c>
      <c r="J17" s="24" t="s">
        <v>17</v>
      </c>
      <c r="K17" s="82"/>
      <c r="L17" s="82"/>
      <c r="M17" s="82"/>
      <c r="N17" s="24">
        <v>30</v>
      </c>
      <c r="O17" s="4">
        <v>0.2</v>
      </c>
      <c r="P17" s="23">
        <f t="shared" si="1"/>
        <v>37.382400000000004</v>
      </c>
      <c r="Q17" s="24">
        <v>0.85</v>
      </c>
      <c r="R17" s="23">
        <f t="shared" si="0"/>
        <v>43.979294117647065</v>
      </c>
      <c r="S17" s="51" t="s">
        <v>40</v>
      </c>
    </row>
    <row r="18" spans="1:25" x14ac:dyDescent="0.25">
      <c r="A18" s="8">
        <v>9</v>
      </c>
      <c r="B18" s="3" t="s">
        <v>43</v>
      </c>
      <c r="C18" s="3" t="s">
        <v>58</v>
      </c>
      <c r="D18" s="29" t="s">
        <v>17</v>
      </c>
      <c r="E18" s="29" t="s">
        <v>17</v>
      </c>
      <c r="F18" s="24">
        <v>1372.7</v>
      </c>
      <c r="G18" s="25">
        <v>494</v>
      </c>
      <c r="H18" s="24">
        <v>2</v>
      </c>
      <c r="I18" s="25">
        <f t="shared" si="2"/>
        <v>988</v>
      </c>
      <c r="J18" s="27" t="s">
        <v>17</v>
      </c>
      <c r="K18" s="85"/>
      <c r="L18" s="85"/>
      <c r="M18" s="85"/>
      <c r="N18" s="24">
        <v>30</v>
      </c>
      <c r="O18" s="4">
        <v>0.2</v>
      </c>
      <c r="P18" s="23">
        <f t="shared" si="1"/>
        <v>35.567999999999998</v>
      </c>
      <c r="Q18" s="24">
        <v>0.85</v>
      </c>
      <c r="R18" s="23">
        <f t="shared" si="0"/>
        <v>41.84470588235294</v>
      </c>
      <c r="S18" s="51" t="s">
        <v>40</v>
      </c>
    </row>
    <row r="19" spans="1:25" x14ac:dyDescent="0.25">
      <c r="A19" s="8">
        <v>10</v>
      </c>
      <c r="B19" s="3" t="s">
        <v>44</v>
      </c>
      <c r="C19" s="3" t="s">
        <v>59</v>
      </c>
      <c r="D19" s="29" t="s">
        <v>17</v>
      </c>
      <c r="E19" s="29" t="s">
        <v>17</v>
      </c>
      <c r="F19" s="24">
        <v>1372.7</v>
      </c>
      <c r="G19" s="25">
        <v>494</v>
      </c>
      <c r="H19" s="24">
        <v>2</v>
      </c>
      <c r="I19" s="25">
        <f t="shared" si="2"/>
        <v>988</v>
      </c>
      <c r="J19" s="24" t="s">
        <v>17</v>
      </c>
      <c r="K19" s="82"/>
      <c r="L19" s="82"/>
      <c r="M19" s="82"/>
      <c r="N19" s="24">
        <v>30</v>
      </c>
      <c r="O19" s="4">
        <v>0.2</v>
      </c>
      <c r="P19" s="23">
        <f t="shared" si="1"/>
        <v>35.567999999999998</v>
      </c>
      <c r="Q19" s="24">
        <v>0.85</v>
      </c>
      <c r="R19" s="23">
        <f t="shared" si="0"/>
        <v>41.84470588235294</v>
      </c>
      <c r="S19" s="51" t="s">
        <v>40</v>
      </c>
    </row>
    <row r="20" spans="1:25" x14ac:dyDescent="0.25">
      <c r="A20" s="8">
        <v>11</v>
      </c>
      <c r="B20" s="3" t="s">
        <v>50</v>
      </c>
      <c r="C20" s="3" t="s">
        <v>51</v>
      </c>
      <c r="D20" s="29" t="s">
        <v>17</v>
      </c>
      <c r="E20" s="29" t="s">
        <v>17</v>
      </c>
      <c r="F20" s="24">
        <v>15549.6</v>
      </c>
      <c r="G20" s="24">
        <v>3304.7</v>
      </c>
      <c r="H20" s="24">
        <v>5</v>
      </c>
      <c r="I20" s="25">
        <f t="shared" si="2"/>
        <v>16523.5</v>
      </c>
      <c r="J20" s="27" t="s">
        <v>17</v>
      </c>
      <c r="K20" s="85"/>
      <c r="L20" s="85"/>
      <c r="M20" s="85"/>
      <c r="N20" s="24">
        <v>13</v>
      </c>
      <c r="O20" s="4">
        <v>0.2</v>
      </c>
      <c r="P20" s="23">
        <f t="shared" si="1"/>
        <v>257.76659999999998</v>
      </c>
      <c r="Q20" s="24">
        <v>0.85</v>
      </c>
      <c r="R20" s="23">
        <f t="shared" si="0"/>
        <v>303.25482352941174</v>
      </c>
      <c r="S20" s="51" t="s">
        <v>70</v>
      </c>
    </row>
    <row r="21" spans="1:25" x14ac:dyDescent="0.25">
      <c r="A21" s="8">
        <v>12</v>
      </c>
      <c r="B21" s="3" t="s">
        <v>67</v>
      </c>
      <c r="C21" s="3" t="s">
        <v>60</v>
      </c>
      <c r="D21" s="29" t="s">
        <v>17</v>
      </c>
      <c r="E21" s="29" t="s">
        <v>17</v>
      </c>
      <c r="F21" s="24">
        <v>370</v>
      </c>
      <c r="G21" s="24">
        <v>129.5</v>
      </c>
      <c r="H21" s="24">
        <v>1</v>
      </c>
      <c r="I21" s="25">
        <f t="shared" si="2"/>
        <v>129.5</v>
      </c>
      <c r="J21" s="24" t="s">
        <v>17</v>
      </c>
      <c r="K21" s="82"/>
      <c r="L21" s="82"/>
      <c r="M21" s="82"/>
      <c r="N21" s="24">
        <v>30</v>
      </c>
      <c r="O21" s="4">
        <v>0.2</v>
      </c>
      <c r="P21" s="23">
        <f t="shared" si="1"/>
        <v>4.6619999999999999</v>
      </c>
      <c r="Q21" s="24">
        <v>0.85</v>
      </c>
      <c r="R21" s="23">
        <f t="shared" si="0"/>
        <v>5.4847058823529409</v>
      </c>
      <c r="S21" s="51" t="s">
        <v>40</v>
      </c>
    </row>
    <row r="22" spans="1:25" x14ac:dyDescent="0.25">
      <c r="A22" s="8">
        <v>13</v>
      </c>
      <c r="B22" s="3" t="s">
        <v>68</v>
      </c>
      <c r="C22" s="3" t="s">
        <v>61</v>
      </c>
      <c r="D22" s="29" t="s">
        <v>17</v>
      </c>
      <c r="E22" s="29" t="s">
        <v>17</v>
      </c>
      <c r="F22" s="24">
        <v>1182.4000000000001</v>
      </c>
      <c r="G22" s="24">
        <v>413.8</v>
      </c>
      <c r="H22" s="24">
        <v>1</v>
      </c>
      <c r="I22" s="25">
        <f t="shared" si="2"/>
        <v>413.8</v>
      </c>
      <c r="J22" s="27" t="s">
        <v>17</v>
      </c>
      <c r="K22" s="85"/>
      <c r="L22" s="85"/>
      <c r="M22" s="85"/>
      <c r="N22" s="24">
        <v>30</v>
      </c>
      <c r="O22" s="4">
        <v>0.2</v>
      </c>
      <c r="P22" s="23">
        <f t="shared" si="1"/>
        <v>14.896799999999999</v>
      </c>
      <c r="Q22" s="24">
        <v>0.85</v>
      </c>
      <c r="R22" s="23">
        <f t="shared" si="0"/>
        <v>17.52564705882353</v>
      </c>
      <c r="S22" s="51" t="s">
        <v>40</v>
      </c>
    </row>
    <row r="23" spans="1:25" x14ac:dyDescent="0.25">
      <c r="A23" s="8">
        <v>14</v>
      </c>
      <c r="B23" s="3" t="s">
        <v>69</v>
      </c>
      <c r="C23" s="3" t="s">
        <v>62</v>
      </c>
      <c r="D23" s="29" t="s">
        <v>17</v>
      </c>
      <c r="E23" s="29" t="s">
        <v>17</v>
      </c>
      <c r="F23" s="24">
        <v>371.1</v>
      </c>
      <c r="G23" s="24">
        <v>129.9</v>
      </c>
      <c r="H23" s="24">
        <v>1</v>
      </c>
      <c r="I23" s="25">
        <f t="shared" si="2"/>
        <v>129.9</v>
      </c>
      <c r="J23" s="24" t="s">
        <v>17</v>
      </c>
      <c r="K23" s="82"/>
      <c r="L23" s="82"/>
      <c r="M23" s="82"/>
      <c r="N23" s="24">
        <v>30</v>
      </c>
      <c r="O23" s="4">
        <v>0.2</v>
      </c>
      <c r="P23" s="23">
        <f t="shared" si="1"/>
        <v>4.6763999999999992</v>
      </c>
      <c r="Q23" s="24">
        <v>0.85</v>
      </c>
      <c r="R23" s="23">
        <f t="shared" si="0"/>
        <v>5.5016470588235284</v>
      </c>
      <c r="S23" s="51" t="s">
        <v>40</v>
      </c>
    </row>
    <row r="24" spans="1:25" x14ac:dyDescent="0.25">
      <c r="A24" s="8">
        <v>15</v>
      </c>
      <c r="B24" s="3" t="s">
        <v>65</v>
      </c>
      <c r="C24" s="3" t="s">
        <v>66</v>
      </c>
      <c r="D24" s="29" t="s">
        <v>17</v>
      </c>
      <c r="E24" s="29" t="s">
        <v>17</v>
      </c>
      <c r="F24" s="24">
        <v>3984</v>
      </c>
      <c r="G24" s="29" t="s">
        <v>17</v>
      </c>
      <c r="H24" s="29" t="s">
        <v>17</v>
      </c>
      <c r="I24" s="29" t="s">
        <v>17</v>
      </c>
      <c r="J24" s="27" t="s">
        <v>17</v>
      </c>
      <c r="K24" s="85"/>
      <c r="L24" s="85"/>
      <c r="M24" s="85"/>
      <c r="N24" s="24">
        <v>1</v>
      </c>
      <c r="O24" s="4">
        <v>0.2</v>
      </c>
      <c r="P24" s="23">
        <f>(F24*N24*1.2)/1000</f>
        <v>4.7808000000000002</v>
      </c>
      <c r="Q24" s="24">
        <v>0.85</v>
      </c>
      <c r="R24" s="23">
        <f t="shared" si="0"/>
        <v>5.6244705882352948</v>
      </c>
      <c r="S24" s="51" t="s">
        <v>40</v>
      </c>
    </row>
    <row r="25" spans="1:25" ht="16.5" x14ac:dyDescent="0.25">
      <c r="A25" s="52" t="s">
        <v>16</v>
      </c>
      <c r="B25" s="40" t="s">
        <v>18</v>
      </c>
      <c r="C25" s="48"/>
      <c r="D25" s="49"/>
      <c r="E25" s="49"/>
      <c r="F25" s="35">
        <f>SUM(F26:F27)</f>
        <v>63639.8</v>
      </c>
      <c r="G25" s="35"/>
      <c r="H25" s="35"/>
      <c r="I25" s="35"/>
      <c r="J25" s="35"/>
      <c r="K25" s="35"/>
      <c r="L25" s="35"/>
      <c r="M25" s="35"/>
      <c r="N25" s="46" t="s">
        <v>74</v>
      </c>
      <c r="O25" s="37"/>
      <c r="P25" s="43">
        <f>SUM(P26:P27)</f>
        <v>38.183880000000002</v>
      </c>
      <c r="Q25" s="40"/>
      <c r="R25" s="44">
        <f>SUM(R26:R27)</f>
        <v>44.922211764705885</v>
      </c>
      <c r="S25" s="60"/>
    </row>
    <row r="26" spans="1:25" ht="17.45" customHeight="1" x14ac:dyDescent="0.25">
      <c r="A26" s="10">
        <v>1</v>
      </c>
      <c r="B26" s="12" t="s">
        <v>63</v>
      </c>
      <c r="C26" s="3"/>
      <c r="D26" s="5" t="s">
        <v>17</v>
      </c>
      <c r="E26" s="5" t="s">
        <v>17</v>
      </c>
      <c r="F26" s="25">
        <v>45541.9</v>
      </c>
      <c r="G26" s="5" t="s">
        <v>17</v>
      </c>
      <c r="H26" s="5" t="s">
        <v>17</v>
      </c>
      <c r="I26" s="5" t="s">
        <v>17</v>
      </c>
      <c r="J26" s="24" t="s">
        <v>17</v>
      </c>
      <c r="K26" s="82"/>
      <c r="L26" s="82"/>
      <c r="M26" s="82"/>
      <c r="N26" s="24">
        <v>0.5</v>
      </c>
      <c r="O26" s="4">
        <v>0.2</v>
      </c>
      <c r="P26" s="23">
        <f>(F26*N26*1.2)/1000</f>
        <v>27.325140000000001</v>
      </c>
      <c r="Q26" s="24">
        <v>0.85</v>
      </c>
      <c r="R26" s="23">
        <f>P26/Q26</f>
        <v>32.147223529411768</v>
      </c>
      <c r="S26" s="51" t="s">
        <v>40</v>
      </c>
    </row>
    <row r="27" spans="1:25" ht="17.45" customHeight="1" x14ac:dyDescent="0.25">
      <c r="A27" s="10">
        <v>2</v>
      </c>
      <c r="B27" s="12" t="s">
        <v>64</v>
      </c>
      <c r="C27" s="3"/>
      <c r="D27" s="5" t="s">
        <v>17</v>
      </c>
      <c r="E27" s="5" t="s">
        <v>17</v>
      </c>
      <c r="F27" s="25">
        <v>18097.900000000001</v>
      </c>
      <c r="G27" s="5" t="s">
        <v>17</v>
      </c>
      <c r="H27" s="5" t="s">
        <v>17</v>
      </c>
      <c r="I27" s="5" t="s">
        <v>17</v>
      </c>
      <c r="J27" s="27" t="s">
        <v>17</v>
      </c>
      <c r="K27" s="85"/>
      <c r="L27" s="85"/>
      <c r="M27" s="85"/>
      <c r="N27" s="24">
        <v>0.5</v>
      </c>
      <c r="O27" s="4">
        <v>0.2</v>
      </c>
      <c r="P27" s="23">
        <f>(F27*N27*1.2)/1000</f>
        <v>10.858739999999999</v>
      </c>
      <c r="Q27" s="24">
        <v>0.85</v>
      </c>
      <c r="R27" s="23">
        <f t="shared" ref="R27" si="3">P27/Q27</f>
        <v>12.774988235294117</v>
      </c>
      <c r="S27" s="51" t="s">
        <v>40</v>
      </c>
      <c r="U27" s="90" t="s">
        <v>86</v>
      </c>
    </row>
    <row r="28" spans="1:25" ht="17.45" customHeight="1" x14ac:dyDescent="0.25">
      <c r="A28" s="53" t="s">
        <v>22</v>
      </c>
      <c r="B28" s="40" t="s">
        <v>23</v>
      </c>
      <c r="C28" s="40"/>
      <c r="D28" s="40"/>
      <c r="E28" s="40"/>
      <c r="F28" s="35">
        <f>SUM(F29:F30)</f>
        <v>190207.47</v>
      </c>
      <c r="G28" s="42"/>
      <c r="H28" s="42"/>
      <c r="I28" s="42"/>
      <c r="J28" s="42"/>
      <c r="K28" s="42"/>
      <c r="L28" s="42"/>
      <c r="M28" s="42"/>
      <c r="N28" s="46" t="s">
        <v>74</v>
      </c>
      <c r="O28" s="37"/>
      <c r="P28" s="43">
        <f>SUM(P29:P30)</f>
        <v>228.248964</v>
      </c>
      <c r="Q28" s="35"/>
      <c r="R28" s="43">
        <f>R29+R30</f>
        <v>268.52819294117648</v>
      </c>
      <c r="S28" s="60"/>
    </row>
    <row r="29" spans="1:25" x14ac:dyDescent="0.25">
      <c r="A29" s="20">
        <v>1</v>
      </c>
      <c r="B29" s="50" t="s">
        <v>72</v>
      </c>
      <c r="C29" s="50"/>
      <c r="D29" s="5" t="s">
        <v>17</v>
      </c>
      <c r="E29" s="5" t="s">
        <v>17</v>
      </c>
      <c r="F29" s="19">
        <v>122200.7</v>
      </c>
      <c r="G29" s="5" t="s">
        <v>17</v>
      </c>
      <c r="H29" s="5" t="s">
        <v>17</v>
      </c>
      <c r="I29" s="5" t="s">
        <v>17</v>
      </c>
      <c r="J29" s="24" t="s">
        <v>17</v>
      </c>
      <c r="K29" s="82"/>
      <c r="L29" s="82"/>
      <c r="M29" s="82"/>
      <c r="N29" s="19">
        <v>1</v>
      </c>
      <c r="O29" s="4">
        <v>0.2</v>
      </c>
      <c r="P29" s="23">
        <f>(F29*N29*1.2)/1000</f>
        <v>146.64084</v>
      </c>
      <c r="Q29" s="24">
        <v>0.85</v>
      </c>
      <c r="R29" s="23">
        <f>P29/Q29</f>
        <v>172.51863529411764</v>
      </c>
      <c r="S29" s="51" t="s">
        <v>40</v>
      </c>
      <c r="U29" s="89"/>
      <c r="V29" s="98" t="s">
        <v>87</v>
      </c>
      <c r="W29" s="98"/>
      <c r="X29" s="98"/>
      <c r="Y29" s="98"/>
    </row>
    <row r="30" spans="1:25" x14ac:dyDescent="0.25">
      <c r="A30" s="75">
        <v>2</v>
      </c>
      <c r="B30" s="61" t="s">
        <v>73</v>
      </c>
      <c r="C30" s="61"/>
      <c r="D30" s="62" t="s">
        <v>17</v>
      </c>
      <c r="E30" s="62" t="s">
        <v>17</v>
      </c>
      <c r="F30" s="63">
        <v>68006.77</v>
      </c>
      <c r="G30" s="62" t="s">
        <v>17</v>
      </c>
      <c r="H30" s="62" t="s">
        <v>17</v>
      </c>
      <c r="I30" s="62" t="s">
        <v>17</v>
      </c>
      <c r="J30" s="27" t="s">
        <v>17</v>
      </c>
      <c r="K30" s="92"/>
      <c r="L30" s="92"/>
      <c r="M30" s="92"/>
      <c r="N30" s="64">
        <v>1</v>
      </c>
      <c r="O30" s="65">
        <v>0.2</v>
      </c>
      <c r="P30" s="22">
        <f>(F30*N30*1.2)/1000</f>
        <v>81.608123999999989</v>
      </c>
      <c r="Q30" s="66">
        <v>0.85</v>
      </c>
      <c r="R30" s="22">
        <f t="shared" ref="R30" si="4">P30/Q30</f>
        <v>96.009557647058813</v>
      </c>
      <c r="S30" s="67" t="s">
        <v>40</v>
      </c>
      <c r="V30" s="98"/>
      <c r="W30" s="98"/>
      <c r="X30" s="98"/>
      <c r="Y30" s="98"/>
    </row>
    <row r="31" spans="1:25" x14ac:dyDescent="0.25">
      <c r="A31" s="53" t="s">
        <v>76</v>
      </c>
      <c r="B31" s="40" t="s">
        <v>77</v>
      </c>
      <c r="C31" s="48"/>
      <c r="D31" s="72"/>
      <c r="E31" s="72"/>
      <c r="F31" s="73"/>
      <c r="G31" s="72"/>
      <c r="H31" s="72"/>
      <c r="I31" s="72"/>
      <c r="J31" s="72"/>
      <c r="K31" s="72"/>
      <c r="L31" s="72"/>
      <c r="M31" s="72"/>
      <c r="N31" s="46" t="s">
        <v>81</v>
      </c>
      <c r="O31" s="74"/>
      <c r="P31" s="43">
        <f>SUM(P32:P34)</f>
        <v>15587.567999999999</v>
      </c>
      <c r="Q31" s="35"/>
      <c r="R31" s="43">
        <f>R32+R34+R35+R33</f>
        <v>24208.43294117647</v>
      </c>
      <c r="S31" s="60"/>
      <c r="V31" s="98"/>
      <c r="W31" s="98"/>
      <c r="X31" s="98"/>
      <c r="Y31" s="98"/>
    </row>
    <row r="32" spans="1:25" x14ac:dyDescent="0.25">
      <c r="A32" s="20">
        <v>1</v>
      </c>
      <c r="B32" s="50" t="s">
        <v>88</v>
      </c>
      <c r="C32" s="21"/>
      <c r="D32" s="5" t="s">
        <v>17</v>
      </c>
      <c r="E32" s="5" t="s">
        <v>17</v>
      </c>
      <c r="F32" s="24" t="s">
        <v>17</v>
      </c>
      <c r="G32" s="5" t="s">
        <v>17</v>
      </c>
      <c r="H32" s="5" t="s">
        <v>17</v>
      </c>
      <c r="I32" s="24" t="s">
        <v>17</v>
      </c>
      <c r="J32" s="18">
        <v>996</v>
      </c>
      <c r="K32" s="34">
        <v>1</v>
      </c>
      <c r="L32" s="93">
        <f t="shared" ref="L32:L34" si="5">J32*1</f>
        <v>996</v>
      </c>
      <c r="M32" s="91">
        <v>0.36</v>
      </c>
      <c r="N32" s="7">
        <v>11</v>
      </c>
      <c r="O32" s="4">
        <v>0.2</v>
      </c>
      <c r="P32" s="23">
        <f>L32*N32*M32*1.2</f>
        <v>4732.9919999999993</v>
      </c>
      <c r="Q32" s="24">
        <v>0.85</v>
      </c>
      <c r="R32" s="23">
        <f>P32/Q32</f>
        <v>5568.2258823529401</v>
      </c>
      <c r="S32" s="51" t="s">
        <v>104</v>
      </c>
    </row>
    <row r="33" spans="1:19" x14ac:dyDescent="0.25">
      <c r="A33" s="20">
        <v>2</v>
      </c>
      <c r="B33" s="50" t="s">
        <v>89</v>
      </c>
      <c r="C33" s="21"/>
      <c r="D33" s="62"/>
      <c r="E33" s="62"/>
      <c r="F33" s="82"/>
      <c r="G33" s="62"/>
      <c r="H33" s="62"/>
      <c r="I33" s="82"/>
      <c r="J33" s="18">
        <v>996</v>
      </c>
      <c r="K33" s="34">
        <v>1</v>
      </c>
      <c r="L33" s="93">
        <f t="shared" si="5"/>
        <v>996</v>
      </c>
      <c r="M33" s="91">
        <v>0.36</v>
      </c>
      <c r="N33" s="7">
        <v>11</v>
      </c>
      <c r="O33" s="4">
        <v>0.2</v>
      </c>
      <c r="P33" s="81">
        <f t="shared" ref="P33:P38" si="6">L33*N33*M33*1.2</f>
        <v>4732.9919999999993</v>
      </c>
      <c r="Q33" s="82">
        <v>0.85</v>
      </c>
      <c r="R33" s="81">
        <f>P33/Q33</f>
        <v>5568.2258823529401</v>
      </c>
      <c r="S33" s="51" t="s">
        <v>105</v>
      </c>
    </row>
    <row r="34" spans="1:19" x14ac:dyDescent="0.25">
      <c r="A34" s="20">
        <v>3</v>
      </c>
      <c r="B34" s="50" t="s">
        <v>78</v>
      </c>
      <c r="C34" s="21"/>
      <c r="D34" s="62" t="s">
        <v>17</v>
      </c>
      <c r="E34" s="62" t="s">
        <v>17</v>
      </c>
      <c r="F34" s="27" t="s">
        <v>17</v>
      </c>
      <c r="G34" s="62" t="s">
        <v>17</v>
      </c>
      <c r="H34" s="62" t="s">
        <v>17</v>
      </c>
      <c r="I34" s="27" t="s">
        <v>17</v>
      </c>
      <c r="J34" s="18">
        <v>12146</v>
      </c>
      <c r="K34" s="34">
        <v>1</v>
      </c>
      <c r="L34" s="93">
        <f t="shared" si="5"/>
        <v>12146</v>
      </c>
      <c r="M34" s="91">
        <v>0.35</v>
      </c>
      <c r="N34" s="7">
        <v>1.2</v>
      </c>
      <c r="O34" s="65">
        <v>0.2</v>
      </c>
      <c r="P34" s="81">
        <f t="shared" si="6"/>
        <v>6121.5839999999998</v>
      </c>
      <c r="Q34" s="66">
        <v>0.85</v>
      </c>
      <c r="R34" s="22">
        <f t="shared" ref="R34" si="7">P34/Q34</f>
        <v>7201.8635294117648</v>
      </c>
      <c r="S34" s="51" t="s">
        <v>93</v>
      </c>
    </row>
    <row r="35" spans="1:19" x14ac:dyDescent="0.25">
      <c r="A35" s="20">
        <v>4</v>
      </c>
      <c r="B35" s="50" t="s">
        <v>83</v>
      </c>
      <c r="C35" s="21"/>
      <c r="D35" s="62" t="s">
        <v>17</v>
      </c>
      <c r="E35" s="62" t="s">
        <v>17</v>
      </c>
      <c r="F35" s="27" t="s">
        <v>17</v>
      </c>
      <c r="G35" s="62" t="s">
        <v>17</v>
      </c>
      <c r="H35" s="62" t="s">
        <v>17</v>
      </c>
      <c r="I35" s="27" t="s">
        <v>17</v>
      </c>
      <c r="J35" s="18">
        <v>63</v>
      </c>
      <c r="K35" s="34">
        <v>1</v>
      </c>
      <c r="L35" s="93">
        <f>J35*1</f>
        <v>63</v>
      </c>
      <c r="M35" s="91">
        <v>0.44</v>
      </c>
      <c r="N35" s="7">
        <v>150</v>
      </c>
      <c r="O35" s="65">
        <v>0.2</v>
      </c>
      <c r="P35" s="81">
        <f t="shared" si="6"/>
        <v>4989.5999999999995</v>
      </c>
      <c r="Q35" s="66">
        <v>0.85</v>
      </c>
      <c r="R35" s="22">
        <f t="shared" ref="R35" si="8">P35/Q35</f>
        <v>5870.1176470588234</v>
      </c>
      <c r="S35" s="51" t="s">
        <v>94</v>
      </c>
    </row>
    <row r="36" spans="1:19" x14ac:dyDescent="0.25">
      <c r="A36" s="53" t="s">
        <v>1</v>
      </c>
      <c r="B36" s="40" t="s">
        <v>92</v>
      </c>
      <c r="C36" s="48"/>
      <c r="D36" s="72"/>
      <c r="E36" s="72"/>
      <c r="F36" s="73"/>
      <c r="G36" s="72"/>
      <c r="H36" s="72"/>
      <c r="I36" s="72"/>
      <c r="J36" s="72"/>
      <c r="K36" s="72"/>
      <c r="L36" s="72"/>
      <c r="M36" s="72"/>
      <c r="N36" s="46" t="s">
        <v>81</v>
      </c>
      <c r="O36" s="74"/>
      <c r="P36" s="43">
        <f>SUM(P37:P38)</f>
        <v>4957.2000000000007</v>
      </c>
      <c r="Q36" s="35"/>
      <c r="R36" s="43">
        <f>R37+R38</f>
        <v>5832</v>
      </c>
      <c r="S36" s="60"/>
    </row>
    <row r="37" spans="1:19" x14ac:dyDescent="0.25">
      <c r="A37" s="20">
        <v>1</v>
      </c>
      <c r="B37" s="50" t="s">
        <v>90</v>
      </c>
      <c r="C37" s="76"/>
      <c r="D37" s="5" t="s">
        <v>17</v>
      </c>
      <c r="E37" s="5" t="s">
        <v>17</v>
      </c>
      <c r="F37" s="24" t="s">
        <v>17</v>
      </c>
      <c r="G37" s="5" t="s">
        <v>17</v>
      </c>
      <c r="H37" s="5" t="s">
        <v>17</v>
      </c>
      <c r="I37" s="24" t="s">
        <v>17</v>
      </c>
      <c r="J37" s="94">
        <v>203</v>
      </c>
      <c r="K37" s="34">
        <v>1</v>
      </c>
      <c r="L37" s="18">
        <f t="shared" ref="L37:L38" si="9">J37*1</f>
        <v>203</v>
      </c>
      <c r="M37" s="91">
        <v>0.34</v>
      </c>
      <c r="N37" s="7">
        <v>30</v>
      </c>
      <c r="O37" s="4">
        <v>0.2</v>
      </c>
      <c r="P37" s="81">
        <f t="shared" si="6"/>
        <v>2484.7200000000003</v>
      </c>
      <c r="Q37" s="24">
        <v>0.85</v>
      </c>
      <c r="R37" s="23">
        <f>P37/Q37</f>
        <v>2923.2000000000003</v>
      </c>
      <c r="S37" s="51" t="s">
        <v>104</v>
      </c>
    </row>
    <row r="38" spans="1:19" x14ac:dyDescent="0.25">
      <c r="A38" s="20">
        <v>2</v>
      </c>
      <c r="B38" s="50" t="s">
        <v>96</v>
      </c>
      <c r="C38" s="76"/>
      <c r="D38" s="5" t="s">
        <v>17</v>
      </c>
      <c r="E38" s="5" t="s">
        <v>17</v>
      </c>
      <c r="F38" s="24" t="s">
        <v>17</v>
      </c>
      <c r="G38" s="5" t="s">
        <v>17</v>
      </c>
      <c r="H38" s="5" t="s">
        <v>17</v>
      </c>
      <c r="I38" s="24" t="s">
        <v>17</v>
      </c>
      <c r="J38" s="94">
        <v>202</v>
      </c>
      <c r="K38" s="34">
        <v>1</v>
      </c>
      <c r="L38" s="18">
        <f t="shared" si="9"/>
        <v>202</v>
      </c>
      <c r="M38" s="91">
        <v>0.34</v>
      </c>
      <c r="N38" s="7">
        <v>30</v>
      </c>
      <c r="O38" s="65">
        <v>0.2</v>
      </c>
      <c r="P38" s="81">
        <f t="shared" si="6"/>
        <v>2472.48</v>
      </c>
      <c r="Q38" s="66">
        <v>0.85</v>
      </c>
      <c r="R38" s="22">
        <f t="shared" ref="R38" si="10">P38/Q38</f>
        <v>2908.8</v>
      </c>
      <c r="S38" s="51" t="s">
        <v>105</v>
      </c>
    </row>
    <row r="39" spans="1:19" ht="28.15" customHeight="1" thickBot="1" x14ac:dyDescent="0.3">
      <c r="A39" s="96" t="s">
        <v>20</v>
      </c>
      <c r="B39" s="97"/>
      <c r="C39" s="97"/>
      <c r="D39" s="68">
        <f>D6+D10+D11</f>
        <v>1812</v>
      </c>
      <c r="E39" s="68">
        <f>E6+E10+E11</f>
        <v>6494</v>
      </c>
      <c r="F39" s="68">
        <f>F6+F9+F25+F28</f>
        <v>544189.97</v>
      </c>
      <c r="G39" s="69"/>
      <c r="H39" s="69"/>
      <c r="I39" s="69"/>
      <c r="J39" s="69"/>
      <c r="K39" s="79"/>
      <c r="L39" s="79"/>
      <c r="M39" s="87"/>
      <c r="N39" s="69"/>
      <c r="O39" s="69"/>
      <c r="P39" s="70">
        <f>SUM(P25,P9,P6,P28,P31,P36)</f>
        <v>37213.388244000002</v>
      </c>
      <c r="Q39" s="70"/>
      <c r="R39" s="70">
        <f>SUM(R25,R9,R6,R28,R31,R36)</f>
        <v>49650.574404705883</v>
      </c>
      <c r="S39" s="71"/>
    </row>
    <row r="40" spans="1:19" x14ac:dyDescent="0.25">
      <c r="A40" s="2"/>
    </row>
    <row r="41" spans="1:19" x14ac:dyDescent="0.25">
      <c r="A41" s="2"/>
      <c r="R41" s="77">
        <f>R39*0.001</f>
        <v>49.650574404705885</v>
      </c>
      <c r="S41" s="1" t="s">
        <v>82</v>
      </c>
    </row>
    <row r="42" spans="1:19" x14ac:dyDescent="0.25">
      <c r="A42" s="2"/>
    </row>
    <row r="43" spans="1:19" x14ac:dyDescent="0.25">
      <c r="A43" s="2"/>
    </row>
    <row r="44" spans="1:19" x14ac:dyDescent="0.25">
      <c r="A44" s="2"/>
    </row>
    <row r="45" spans="1:19" x14ac:dyDescent="0.25">
      <c r="A45" s="2"/>
    </row>
    <row r="46" spans="1:19" x14ac:dyDescent="0.25">
      <c r="A46" s="2"/>
    </row>
    <row r="47" spans="1:19" x14ac:dyDescent="0.25">
      <c r="A47" s="2"/>
      <c r="B47" s="2"/>
      <c r="C47" s="2"/>
    </row>
    <row r="48" spans="1:19" x14ac:dyDescent="0.25">
      <c r="A48" s="2"/>
      <c r="B48" s="2"/>
      <c r="C48" s="2"/>
    </row>
    <row r="49" spans="1:20" x14ac:dyDescent="0.25">
      <c r="A49" s="2"/>
      <c r="B49" s="2"/>
      <c r="C49" s="2"/>
      <c r="D49" s="2"/>
      <c r="E49" s="2"/>
    </row>
    <row r="64" spans="1:20" x14ac:dyDescent="0.25">
      <c r="T64" s="2"/>
    </row>
    <row r="65" ht="14.25" customHeight="1" x14ac:dyDescent="0.25"/>
    <row r="66" ht="14.25" customHeight="1" x14ac:dyDescent="0.25"/>
    <row r="77" ht="17.25" customHeight="1" x14ac:dyDescent="0.25"/>
  </sheetData>
  <mergeCells count="16">
    <mergeCell ref="A2:S2"/>
    <mergeCell ref="C3:C4"/>
    <mergeCell ref="N3:N4"/>
    <mergeCell ref="O3:O4"/>
    <mergeCell ref="P3:P4"/>
    <mergeCell ref="Q3:Q4"/>
    <mergeCell ref="R3:R4"/>
    <mergeCell ref="B3:B4"/>
    <mergeCell ref="A3:A4"/>
    <mergeCell ref="S3:S4"/>
    <mergeCell ref="M3:M4"/>
    <mergeCell ref="V29:Y31"/>
    <mergeCell ref="D3:J3"/>
    <mergeCell ref="K3:K4"/>
    <mergeCell ref="L3:L4"/>
    <mergeCell ref="A39:C39"/>
  </mergeCells>
  <phoneticPr fontId="11" type="noConversion"/>
  <pageMargins left="0.7" right="0.7" top="0.75" bottom="0.75" header="0.3" footer="0.3"/>
  <pageSetup scale="55" orientation="landscape" horizontalDpi="200" verticalDpi="200" r:id="rId1"/>
  <ignoredErrors>
    <ignoredError sqref="R9 R25 P26:R28 P25:Q25 P36 R36" formula="1"/>
    <ignoredError sqref="F25" formulaRange="1"/>
    <ignoredError sqref="D11 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 (2030)</vt:lpstr>
      <vt:lpstr>Scenario 2 (2035)</vt:lpstr>
      <vt:lpstr>Scenario 3 (2040)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 Nguyen</dc:creator>
  <cp:lastModifiedBy>Khai Nguyen</cp:lastModifiedBy>
  <cp:lastPrinted>2024-10-31T17:54:18Z</cp:lastPrinted>
  <dcterms:created xsi:type="dcterms:W3CDTF">2017-12-20T07:47:48Z</dcterms:created>
  <dcterms:modified xsi:type="dcterms:W3CDTF">2024-12-23T17:51:03Z</dcterms:modified>
</cp:coreProperties>
</file>